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oncha\Downloads\"/>
    </mc:Choice>
  </mc:AlternateContent>
  <xr:revisionPtr revIDLastSave="0" documentId="13_ncr:1_{1FD4468E-71BF-475F-AFD0-206175BF0855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ummary" sheetId="1" r:id="rId1"/>
    <sheet name="Build Order" sheetId="2" r:id="rId2"/>
    <sheet name="Roadmap 6-16" sheetId="3" r:id="rId3"/>
    <sheet name="Versions" sheetId="4" r:id="rId4"/>
    <sheet name="Requirements" sheetId="5" r:id="rId5"/>
    <sheet name="Sub-steps" sheetId="6" r:id="rId6"/>
    <sheet name="Tests" sheetId="7" r:id="rId7"/>
  </sheets>
  <definedNames>
    <definedName name="_xlnm._FilterDatabase" localSheetId="2" hidden="1">'Roadmap 6-16'!$A$1:$N$152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7" l="1"/>
  <c r="C7" i="7"/>
  <c r="H15" i="4"/>
  <c r="G15" i="4"/>
  <c r="F15" i="4"/>
  <c r="E15" i="4"/>
  <c r="D15" i="4"/>
  <c r="H14" i="4"/>
  <c r="G14" i="4"/>
  <c r="F14" i="4"/>
  <c r="E14" i="4"/>
  <c r="D14" i="4"/>
  <c r="H13" i="4"/>
  <c r="G13" i="4"/>
  <c r="F13" i="4"/>
  <c r="E13" i="4"/>
  <c r="D13" i="4"/>
  <c r="H12" i="4"/>
  <c r="G12" i="4"/>
  <c r="F12" i="4"/>
  <c r="E12" i="4"/>
  <c r="D12" i="4"/>
  <c r="H11" i="4"/>
  <c r="G11" i="4"/>
  <c r="F11" i="4"/>
  <c r="E11" i="4"/>
  <c r="D11" i="4"/>
  <c r="G5" i="4"/>
  <c r="F5" i="4"/>
  <c r="E5" i="4"/>
  <c r="G4" i="4"/>
  <c r="F4" i="4"/>
  <c r="E4" i="4"/>
  <c r="G3" i="4"/>
  <c r="F3" i="4"/>
  <c r="E3" i="4"/>
  <c r="H3" i="4" s="1"/>
  <c r="G2" i="4"/>
  <c r="F2" i="4"/>
  <c r="E2" i="4"/>
  <c r="D7" i="1"/>
  <c r="C7" i="1"/>
  <c r="C8" i="1" s="1"/>
  <c r="C9" i="1" s="1"/>
  <c r="B7" i="1"/>
  <c r="D6" i="1"/>
  <c r="D8" i="1" s="1"/>
  <c r="D9" i="1" s="1"/>
  <c r="C6" i="1"/>
  <c r="B6" i="1"/>
  <c r="D5" i="1"/>
  <c r="C5" i="1"/>
  <c r="B5" i="1"/>
  <c r="B8" i="1" s="1"/>
  <c r="B9" i="1" s="1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H4" i="4" l="1"/>
  <c r="H5" i="4"/>
  <c r="H2" i="4"/>
</calcChain>
</file>

<file path=xl/sharedStrings.xml><?xml version="1.0" encoding="utf-8"?>
<sst xmlns="http://schemas.openxmlformats.org/spreadsheetml/2006/main" count="2405" uniqueCount="1091">
  <si>
    <t>Order</t>
  </si>
  <si>
    <t>Slice</t>
  </si>
  <si>
    <t>Priority tier</t>
  </si>
  <si>
    <t>Name</t>
  </si>
  <si>
    <t>What you get</t>
  </si>
  <si>
    <t>Tasks</t>
  </si>
  <si>
    <t>Done</t>
  </si>
  <si>
    <t>Task IDs</t>
  </si>
  <si>
    <t>App works when</t>
  </si>
  <si>
    <t>C1</t>
  </si>
  <si>
    <t>P0 Critical</t>
  </si>
  <si>
    <t>Secure foundation</t>
  </si>
  <si>
    <t>Sign in, tenant isolation, platform admin creates shops, rate limiting and headers.</t>
  </si>
  <si>
    <t>6.1, 6.2, 6.3, 6.4, 6.5, 6.6, 6.7, 6.8, 6.9, 6.10, 6.10b, 6.11a, 6.11b, 6.11c, 6.11d, 6.12a, 6.12b, 6.12c, 6.12e, 6.13c, 6.13d</t>
  </si>
  <si>
    <t>dotnet test passes; login works; platform admin creates a tenant; /health/live shows security headers.</t>
  </si>
  <si>
    <t>C2</t>
  </si>
  <si>
    <t>Core data model</t>
  </si>
  <si>
    <t>Branch, categories, products, sales, payments, stock ledger and balance, settings, receipt counters.</t>
  </si>
  <si>
    <t>7.1, 7.2, 7.3, 7.4, 7.5, 7.6, 7.11, 7.12, 7.13, 7.15, 7.17</t>
  </si>
  <si>
    <t>Migration applied; \dt shows the tables; app starts; all tests still pass.</t>
  </si>
  <si>
    <t>C3</t>
  </si>
  <si>
    <t>Products and opening stock</t>
  </si>
  <si>
    <t>Create and list products with opening stock; other shops cannot see them.</t>
  </si>
  <si>
    <t>8.2, 8.3, 8.5, 8.10</t>
  </si>
  <si>
    <t>Create a product with opening stock through the API; isolation tests pass.</t>
  </si>
  <si>
    <t>C4</t>
  </si>
  <si>
    <t>Checkout engine</t>
  </si>
  <si>
    <t>Price maths, receipt numbers, one-transaction sale, cash and M-Pesa, safe retries.</t>
  </si>
  <si>
    <t>9.1, 9.3, 9.4, 9.5, 9.7, 9.8, 6.15, 9.19, 11.1, 11.2, 11.3</t>
  </si>
  <si>
    <t>POST /sales records a sale, takes stock out, and the same saleId sent twice makes one sale.</t>
  </si>
  <si>
    <t>C5</t>
  </si>
  <si>
    <t>Sale in the browser</t>
  </si>
  <si>
    <t>Sign-in screen, product screens, POS screen, payment, receipt.</t>
  </si>
  <si>
    <t>10.1, 10.2, 10.3, 10.4, 8.7, 8.8, 10.5, 10.6, 10.7, 10.16</t>
  </si>
  <si>
    <t>A cashier signs in and completes a cash sale in the browser and prints a receipt.</t>
  </si>
  <si>
    <t>C6</t>
  </si>
  <si>
    <t>Go live with one shop</t>
  </si>
  <si>
    <t>Production settings, hosted, migrations, backups, pilot.</t>
  </si>
  <si>
    <t>15.5, 14.9, 16.1, 16.2, 16.3, 16.5</t>
  </si>
  <si>
    <t>Backup restores; one real shop sells for a week with no data loss.</t>
  </si>
  <si>
    <t>H1</t>
  </si>
  <si>
    <t>P1 High</t>
  </si>
  <si>
    <t>Harden and audit</t>
  </si>
  <si>
    <t>Audit log, platform tests, hardening tests, real client IP, platform admin MFA, concurrency test.</t>
  </si>
  <si>
    <t>6.12d, 6.12f, 6.13a, 6.13b, 6.13e, 6.14, 6.16, 6.18, 11.7</t>
  </si>
  <si>
    <t>Security events visible in audit table; 28 tests pass; two sales of the last unit cannot both succeed.</t>
  </si>
  <si>
    <t>H2</t>
  </si>
  <si>
    <t>Daily shop operations</t>
  </si>
  <si>
    <t>Categories, barcode scan, settings screen, negative stock rule, sales history, void.</t>
  </si>
  <si>
    <t>8.1, 8.6, 9.2, 9.6, 9.10, 9.11, 10.8</t>
  </si>
  <si>
    <t>Owner can review the day, void a mistake, and scan a barcode.</t>
  </si>
  <si>
    <t>H3</t>
  </si>
  <si>
    <t>Stock management</t>
  </si>
  <si>
    <t>Receive stock, adjust, stock levels and history with screens.</t>
  </si>
  <si>
    <t>9.13, 9.14, 9.15, 10.10</t>
  </si>
  <si>
    <t>Receiving a delivery raises on-hand; adjustments appear in history.</t>
  </si>
  <si>
    <t>H4</t>
  </si>
  <si>
    <t>Reports, staff and docs</t>
  </si>
  <si>
    <t>Daily report, user management, config, README, restricted DB user, compliance review.</t>
  </si>
  <si>
    <t>9.16, 10.9, 10.11, 10.15, 15.1, 15.2, 16.4, 16.6</t>
  </si>
  <si>
    <t>Owner adds a cashier; daily report matches manual total.</t>
  </si>
  <si>
    <t>H5</t>
  </si>
  <si>
    <t>Offline foundation</t>
  </si>
  <si>
    <t>PWA, local database, offline checkout, queue states.</t>
  </si>
  <si>
    <t>12.1, 12.2, 12.3, 12.4, 12.5, 12.6, 12.10, 7.8</t>
  </si>
  <si>
    <t>Sell with the network off; sales wait in the local queue.</t>
  </si>
  <si>
    <t>H6</t>
  </si>
  <si>
    <t>Safe sync</t>
  </si>
  <si>
    <t>Sync endpoint, idempotency, retry, conflicts, pull changes.</t>
  </si>
  <si>
    <t>13.1, 13.2, 13.3, 13.4, 13.5, 13.7, 13.10</t>
  </si>
  <si>
    <t>Reconnect and sync with zero duplicate sales.</t>
  </si>
  <si>
    <t>H7</t>
  </si>
  <si>
    <t>Multi-shop onboarding</t>
  </si>
  <si>
    <t>Tenant onboarding wizard, suspend and reactivate.</t>
  </si>
  <si>
    <t>14.1, 14.2</t>
  </si>
  <si>
    <t>Add a new shop without touching the database.</t>
  </si>
  <si>
    <t>M1</t>
  </si>
  <si>
    <t>P2 Medium</t>
  </si>
  <si>
    <t>Data and audit polish</t>
  </si>
  <si>
    <t>Price-change audit, user branches, report indexes, terminals, RLS, commit hygiene.</t>
  </si>
  <si>
    <t>6.11e, 6.17, 6.21, 7.7, 7.9, 7.14, 7.16, 8.4</t>
  </si>
  <si>
    <t>Price edit writes an audit row; cashier limited to assigned branch.</t>
  </si>
  <si>
    <t>M2</t>
  </si>
  <si>
    <t>Sales extras</t>
  </si>
  <si>
    <t>Discounts, returns, shifts, category screen, CSV import, password change, toasts.</t>
  </si>
  <si>
    <t>9.9, 9.12, 9.17, 8.9, 8.11, 10.12, 10.14</t>
  </si>
  <si>
    <t>Cashier over discount limit is denied; return restores stock.</t>
  </si>
  <si>
    <t>M3</t>
  </si>
  <si>
    <t>Quality and demo data</t>
  </si>
  <si>
    <t>Browser tests, end-to-end test, CI pipeline, demo seed.</t>
  </si>
  <si>
    <t>11.5, 11.6, 15.4</t>
  </si>
  <si>
    <t>CI is green on every push.</t>
  </si>
  <si>
    <t>M4</t>
  </si>
  <si>
    <t>Offline polish</t>
  </si>
  <si>
    <t>Stock display rules, offline receipts, local data protection, conflict handling, diagnostics.</t>
  </si>
  <si>
    <t>12.7, 12.8, 12.9, 13.6, 13.8, 13.9</t>
  </si>
  <si>
    <t>Price change while offline is flagged on sync.</t>
  </si>
  <si>
    <t>M5</t>
  </si>
  <si>
    <t>SaaS operations</t>
  </si>
  <si>
    <t>Plans, billing status, platform dashboard, monitoring, exports.</t>
  </si>
  <si>
    <t>14.3, 14.4, 14.6, 14.8, 16.9</t>
  </si>
  <si>
    <t>Trial dates and billing status visible per shop.</t>
  </si>
  <si>
    <t>N1</t>
  </si>
  <si>
    <t>P3 Normal</t>
  </si>
  <si>
    <t>Can wait</t>
  </si>
  <si>
    <t>Password reset email, refresh cleanup job, frontend unit tests, start script, Swahili UI and similar.</t>
  </si>
  <si>
    <t>6.20, 8.13, 10.13, 11.4, 14.5, 15.3, 15.6, 16.7</t>
  </si>
  <si>
    <t>Added when a customer asks for it.</t>
  </si>
  <si>
    <t>L1</t>
  </si>
  <si>
    <t>P4 Low</t>
  </si>
  <si>
    <t>Can do without</t>
  </si>
  <si>
    <t>Product images, customers table, support sessions, suppliers, dedicated installs, multi-terminal reservation.</t>
  </si>
  <si>
    <t>6.19, 7.10, 8.12, 9.18, 13.11, 14.10</t>
  </si>
  <si>
    <t>Only if a customer needs it.</t>
  </si>
  <si>
    <t>How to use: finish a slice completely (build, tests green, run the app, check the 'App works when' column), commit, then start the next slice.</t>
  </si>
  <si>
    <t>Never start a slice in a lower tier while a higher tier slice is unfinished, unless a task there is a listed dependency.</t>
  </si>
  <si>
    <t>Each slice leaves the app runnable. Tests for a feature are added in the slice that builds it.</t>
  </si>
  <si>
    <t>Some tasks were moved up so no tier is blocked by a lower one: 6.13c, 6.13d, 7.12, 8.5, 15.5 to Critical; 6.13e and 7.8 to High; 7.9 to Medium.</t>
  </si>
  <si>
    <t>Dependencies were adjusted for the same reason, e.g. 7.17 now covers only the critical tables, and 10.16 needs 10.1-10.7 only.</t>
  </si>
  <si>
    <t>Step 6 status: tenant-aware authentication and authorization</t>
  </si>
  <si>
    <t>Change the yellow Status cells on the other sheets; the counts below recalculate.</t>
  </si>
  <si>
    <t>Status</t>
  </si>
  <si>
    <t>Guide requirements</t>
  </si>
  <si>
    <t>Sub-steps and tasks</t>
  </si>
  <si>
    <t>Tests (count)</t>
  </si>
  <si>
    <t>Ready to build</t>
  </si>
  <si>
    <t>Pending</t>
  </si>
  <si>
    <t>Total</t>
  </si>
  <si>
    <t>Share done</t>
  </si>
  <si>
    <t>Status meanings</t>
  </si>
  <si>
    <t>Roadmap steps 6-16: see 'Versions' sheet for progress per version.</t>
  </si>
  <si>
    <t>Ready to build: full steps and code have been given; not yet built or confirmed by you.</t>
  </si>
  <si>
    <t>Pending: not started, or deferred to a later step.</t>
  </si>
  <si>
    <t>How to use</t>
  </si>
  <si>
    <t>Yellow cells (Status) are the only cells to edit. Pick Done, Ready to build or Pending from the list.</t>
  </si>
  <si>
    <t>Requirements: the seven points from the Step 6 guide and how well each is covered.</t>
  </si>
  <si>
    <t>Sub-steps: the work items in order. 'Beyond guide' items come from the security design; 'Before production' items are release blockers.</t>
  </si>
  <si>
    <t>Tests: expected test counts per class. The total should reach 28 when Step 6 is complete.</t>
  </si>
  <si>
    <t>ID</t>
  </si>
  <si>
    <t>Step</t>
  </si>
  <si>
    <t>Task</t>
  </si>
  <si>
    <t>What to build (detail)</t>
  </si>
  <si>
    <t>Why it matters</t>
  </si>
  <si>
    <t>Done when (acceptance)</t>
  </si>
  <si>
    <t>Version</t>
  </si>
  <si>
    <t>Priority</t>
  </si>
  <si>
    <t>Layer</t>
  </si>
  <si>
    <t>Depends on</t>
  </si>
  <si>
    <t>Effort</t>
  </si>
  <si>
    <t>My decision / notes</t>
  </si>
  <si>
    <t>Build slice</t>
  </si>
  <si>
    <t>6.1</t>
  </si>
  <si>
    <t>6 Auth &amp; authorization</t>
  </si>
  <si>
    <t>Domain base types</t>
  </si>
  <si>
    <t>ITenantOwned interface and TenantEntity base class (Id, TenantId, CreatedAtUtc, UpdatedAtUtc).</t>
  </si>
  <si>
    <t>One shared rule for what 'belongs to a tenant' lets the DbContext enforce isolation generically.</t>
  </si>
  <si>
    <t>Product and later entities inherit it; project builds.</t>
  </si>
  <si>
    <t>v1.0</t>
  </si>
  <si>
    <t>Domain</t>
  </si>
  <si>
    <t>S</t>
  </si>
  <si>
    <t>6.2</t>
  </si>
  <si>
    <t>Permissions and system roles</t>
  </si>
  <si>
    <t>Permission string catalogue (products.read, products.write, ...), Role and RolePermission entities; roles Owner, Manager, Cashier, StockController.</t>
  </si>
  <si>
    <t>Permissions, not role names, are checked in code so roles can change without code edits.</t>
  </si>
  <si>
    <t>Role-permission rows seeded and readable.</t>
  </si>
  <si>
    <t>DB</t>
  </si>
  <si>
    <t>M</t>
  </si>
  <si>
    <t>6.3</t>
  </si>
  <si>
    <t>Tenant, TenantMembership, Product entities</t>
  </si>
  <si>
    <t>Tenant(Status, Name), TenantMembership(UserId, TenantId, RoleId, Status), Product with TenantId.</t>
  </si>
  <si>
    <t>User-to-tenant link with a role is the core of multi-tenancy; a user outside a tenant has no access.</t>
  </si>
  <si>
    <t>Tables mapped with unique (UserId, TenantId).</t>
  </si>
  <si>
    <t>6.4</t>
  </si>
  <si>
    <t>Tenant context abstraction and AppUser</t>
  </si>
  <si>
    <t>ITenantContext (TenantId, UserId) and AppUser : IdentityUser&lt;Guid&gt;.</t>
  </si>
  <si>
    <t>Keeps tenant lookup out of controllers and allows a test implementation.</t>
  </si>
  <si>
    <t>Context resolved from claims in API; fake in tests.</t>
  </si>
  <si>
    <t>6.5</t>
  </si>
  <si>
    <t>AppDbContext: Identity, query filter, SaveChanges rules</t>
  </si>
  <si>
    <t>IdentityUserContext, global query filter on ITenantOwned by current TenantId, SaveChanges stamps TenantId and rejects cross-tenant writes.</t>
  </si>
  <si>
    <t>Even a forgotten Where clause cannot leak another tenant's rows.</t>
  </si>
  <si>
    <t>Query without tenant returns nothing; write to other tenant throws.</t>
  </si>
  <si>
    <t>L</t>
  </si>
  <si>
    <t>6.6</t>
  </si>
  <si>
    <t>Tenant isolation tests</t>
  </si>
  <si>
    <t>5 tests proving read/write isolation at DbContext level against pos_test.</t>
  </si>
  <si>
    <t>Guide requires tests that prove denial.</t>
  </si>
  <si>
    <t>5 tests green.</t>
  </si>
  <si>
    <t>Test</t>
  </si>
  <si>
    <t>6.7</t>
  </si>
  <si>
    <t>Migration AddIdentityAndTenancy</t>
  </si>
  <si>
    <t>Create and apply the first identity/tenant migration to pos_dev.</t>
  </si>
  <si>
    <t>Schema is repeatable from code.</t>
  </si>
  <si>
    <t>dotnet ef database update succeeds.</t>
  </si>
  <si>
    <t>6.8</t>
  </si>
  <si>
    <t>Seed roles, demo tenant and owner</t>
  </si>
  <si>
    <t>DevSeeder creates roles and permissions, Demo Shop tenant, owner from Seed:OwnerEmail/Seed:OwnerPassword (user-secrets).</t>
  </si>
  <si>
    <t>Gives a sign-in without hard-coded credentials, per guide.</t>
  </si>
  <si>
    <t>Owner can sign in; no password in source control.</t>
  </si>
  <si>
    <t>API</t>
  </si>
  <si>
    <t>6.9</t>
  </si>
  <si>
    <t>Sign-in, JWT with sub and tid, /me</t>
  </si>
  <si>
    <t>POST /auth/login validates password, lockout (5 attempts/15 min), issues 15-minute JWT with sub, tid, jti. GET /me returns user, tenant, role, permissions.</t>
  </si>
  <si>
    <t>Tenant comes from the signed token, never from the browser request.</t>
  </si>
  <si>
    <t>Login returns token; /me shows correct tenant.</t>
  </si>
  <si>
    <t>6.10</t>
  </si>
  <si>
    <t>Permission policies, default-deny, product endpoints</t>
  </si>
  <si>
    <t>One authorization policy per permission; PermissionHandler re-checks active membership, tenant status and role permission per request; FallbackPolicy denies by default; other tenants' records return 404.</t>
  </si>
  <si>
    <t>Revoked users lose access immediately, not at token expiry.</t>
  </si>
  <si>
    <t>Anonymous call to any non-public endpoint returns 401.</t>
  </si>
  <si>
    <t>6.10b</t>
  </si>
  <si>
    <t>ApiFactory, AuthorizationTests, DbCollection</t>
  </si>
  <si>
    <t>WebApplicationFactory&lt;Program&gt; with Testing environment, pos_test DB, seeded owner, cashier, outsider (no membership), Other Shop; 6 authorization tests.</t>
  </si>
  <si>
    <t>Proves denial paths end-to-end, a guide requirement.</t>
  </si>
  <si>
    <t>dotnet test shows 11 passed.</t>
  </si>
  <si>
    <t>6.11a</t>
  </si>
  <si>
    <t>RefreshToken entity, DbContext mapping, migration AddRefreshTokens</t>
  </si>
  <si>
    <t>Token hash (SHA-256), FamilyId, UsedAt, RevokedAt, ExpiresAt, SessionStartedAt; unique hash index.</t>
  </si>
  <si>
    <t>Short access tokens need a safe renewal path; hashing means a database leak does not leak sessions.</t>
  </si>
  <si>
    <t>Migration applied; table exists.</t>
  </si>
  <si>
    <t>6.11b</t>
  </si>
  <si>
    <t>RefreshTokenService and TokenService options</t>
  </si>
  <si>
    <t>Issue, rotate (atomic consume with ExecuteUpdateAsync), revoke family on reuse, 14-day sliding with 30-day cap, re-check membership and lockout on refresh.</t>
  </si>
  <si>
    <t>Rotation plus reuse detection stops stolen-token replay.</t>
  </si>
  <si>
    <t>Reusing an old token revokes the whole family.</t>
  </si>
  <si>
    <t>6.11c</t>
  </si>
  <si>
    <t>Auth endpoints: login cookie, /auth/refresh, /auth/logout</t>
  </si>
  <si>
    <t>HttpOnly, SameSite=Strict, Path=/auth, Secure on HTTPS cookie pos_refresh; CORS AllowCredentials for the frontend origin.</t>
  </si>
  <si>
    <t>Browser JavaScript can't read the refresh token.</t>
  </si>
  <si>
    <t>Login sets cookie; refresh returns new access token.</t>
  </si>
  <si>
    <t>6.11d</t>
  </si>
  <si>
    <t>RefreshTokenTests (6 tests)</t>
  </si>
  <si>
    <t>Cookie flags, rotation, reuse detection, logout, suspended membership denied.</t>
  </si>
  <si>
    <t>Locks behaviour in.</t>
  </si>
  <si>
    <t>dotnet test shows 17 passed.</t>
  </si>
  <si>
    <t>6.11e</t>
  </si>
  <si>
    <t>Commit 6.11</t>
  </si>
  <si>
    <t>git commit 'feat: rotating refresh tokens with reuse detection and logout'.</t>
  </si>
  <si>
    <t>Checkpoint before platform work.</t>
  </si>
  <si>
    <t>Clean git status.</t>
  </si>
  <si>
    <t>Process</t>
  </si>
  <si>
    <t>6.12a</t>
  </si>
  <si>
    <t>AppUser.IsPlatformAdmin flag</t>
  </si>
  <si>
    <t>Add bool IsPlatformAdmin (default false) to AppUser. Migration comes with 6.13a.</t>
  </si>
  <si>
    <t>Platform operator is not tied to a tenant role; default false means nobody is promoted by accident.</t>
  </si>
  <si>
    <t>Project builds.</t>
  </si>
  <si>
    <t>6.12b</t>
  </si>
  <si>
    <t>TokenService: platform token</t>
  </si>
  <si>
    <t>CreatePlatformToken: scope=platform, no tid, 10-minute lifetime; PlatformTokenMinutes option.</t>
  </si>
  <si>
    <t>Separate, short-lived token stops tenant tokens and platform tokens being interchangeable.</t>
  </si>
  <si>
    <t>Decoded token has scope=platform and no tid.</t>
  </si>
  <si>
    <t>6.12c</t>
  </si>
  <si>
    <t>Platform admin requirement and handler</t>
  </si>
  <si>
    <t>Policy platform.admin re-checks IsPlatformAdmin and lockout in database on each call; tenant endpoints reject platform tokens (no tenant).</t>
  </si>
  <si>
    <t>Revoking the flag takes effect immediately.</t>
  </si>
  <si>
    <t>Tenant token on /platform returns 403.</t>
  </si>
  <si>
    <t>6.12d</t>
  </si>
  <si>
    <t>PlatformAdminSeeder + user-secrets</t>
  </si>
  <si>
    <t>Create first platform admin from Seed:PlatformAdminEmail/Password (prompted into user-secrets); never promote an existing user.</t>
  </si>
  <si>
    <t>No hard-coded credentials and no accidental privilege escalation.</t>
  </si>
  <si>
    <t>Admin exists after first run only in Development.</t>
  </si>
  <si>
    <t>6.12e</t>
  </si>
  <si>
    <t>Platform endpoints</t>
  </si>
  <si>
    <t>POST /platform/auth/login, GET/POST /platform/tenants, GET /platform/audit.</t>
  </si>
  <si>
    <t>Lets you create tenants without SQL; replaces dev-only endpoints.</t>
  </si>
  <si>
    <t>Platform admin creates a tenant; list shows it.</t>
  </si>
  <si>
    <t>In progress</t>
  </si>
  <si>
    <t>PlatformEndpoints.cs built; waiting for 23/23 test result</t>
  </si>
  <si>
    <t>6.12f</t>
  </si>
  <si>
    <t>PlatformAdminTests (6 tests)</t>
  </si>
  <si>
    <t>Platform admin cannot read tenant products; tenant owner cannot call platform endpoints; revoked flag denied; platform token has no tid.</t>
  </si>
  <si>
    <t>Proves the separation.</t>
  </si>
  <si>
    <t>dotnet test shows 23 passed.</t>
  </si>
  <si>
    <t>6.13a</t>
  </si>
  <si>
    <t>AuthAuditEvent entity and migration AddPlatformAdminAndAudit</t>
  </si>
  <si>
    <t>AuthAuditEvents table (no FK to users), DbContext mapping using parameter b; migration also adds IsPlatformAdmin column.</t>
  </si>
  <si>
    <t>Audit rows must survive user deletion.</t>
  </si>
  <si>
    <t>Migration applied; flag column and table exist.</t>
  </si>
  <si>
    <t>6.13b</t>
  </si>
  <si>
    <t>AuditLog service</t>
  </si>
  <si>
    <t>Records login success/failure, lockout, refresh reuse, refresh denied; write failure never breaks the request.</t>
  </si>
  <si>
    <t>Security events are needed to investigate abuse.</t>
  </si>
  <si>
    <t>Events visible in table after tests.</t>
  </si>
  <si>
    <t>6.13c</t>
  </si>
  <si>
    <t>Rate limiting on auth endpoints</t>
  </si>
  <si>
    <t>Fixed window policy 'auth', default 10/min per IP, RateLimit:AuthPermitPerMinute read at request time.</t>
  </si>
  <si>
    <t>Slows password guessing beyond lockout.</t>
  </si>
  <si>
    <t>11th request in a minute returns 429.</t>
  </si>
  <si>
    <t>6.13d</t>
  </si>
  <si>
    <t>Security headers, HSTS, CORS from config, Cache-Control no-store</t>
  </si>
  <si>
    <t>Replace Program.cs and AuthEndpoints.cs; Cors:Origins list; HSTS outside Development.</t>
  </si>
  <si>
    <t>Browser-side hardening and safe configuration per environment.</t>
  </si>
  <si>
    <t>Response headers present on a request.</t>
  </si>
  <si>
    <t>Program.cs given (CORS from config, headers, HSTS); no AuthEndpoints change needed (no-store is middleware)</t>
  </si>
  <si>
    <t>6.13e</t>
  </si>
  <si>
    <t>HardeningTests (5 tests)</t>
  </si>
  <si>
    <t>Audit written, headers, no-store, CORS origins, rate limit.</t>
  </si>
  <si>
    <t>Locks hardening in.</t>
  </si>
  <si>
    <t>dotnet test shows 28 passed.</t>
  </si>
  <si>
    <t>6.14</t>
  </si>
  <si>
    <t>Step 6 sign-off</t>
  </si>
  <si>
    <t>All 28 tests pass; manual check: user can sign in, user without membership cannot query products; commit; git tag step-6-complete.</t>
  </si>
  <si>
    <t>Guide check for Step 6.</t>
  </si>
  <si>
    <t>Tag exists.</t>
  </si>
  <si>
    <t>6.15</t>
  </si>
  <si>
    <t>Sales endpoints: no-membership denial test</t>
  </si>
  <si>
    <t>When /sales exists, add test that a user without membership gets 403 and cannot read sales.</t>
  </si>
  <si>
    <t>Guide check lists sales explicitly.</t>
  </si>
  <si>
    <t>Test green (done with 9.19/11.3).</t>
  </si>
  <si>
    <t>9.4</t>
  </si>
  <si>
    <t>6.16</t>
  </si>
  <si>
    <t>Forwarded headers for real client IP</t>
  </si>
  <si>
    <t>UseForwardedHeaders with known proxy; rate limit and audit use real IP.</t>
  </si>
  <si>
    <t>Behind a proxy every client looks like one IP.</t>
  </si>
  <si>
    <t>Audit shows client IP.</t>
  </si>
  <si>
    <t>16.2</t>
  </si>
  <si>
    <t>6.17</t>
  </si>
  <si>
    <t>Append-only audit permissions</t>
  </si>
  <si>
    <t>Database role without UPDATE/DELETE on AuthAuditEvents; retention policy documented.</t>
  </si>
  <si>
    <t>Prevents tampering with logs.</t>
  </si>
  <si>
    <t>App role cannot delete audit rows.</t>
  </si>
  <si>
    <t>Ops</t>
  </si>
  <si>
    <t>16.4</t>
  </si>
  <si>
    <t>6.18</t>
  </si>
  <si>
    <t>Platform admin MFA (TOTP)</t>
  </si>
  <si>
    <t>Require TOTP on /platform/auth/login. Required before production.</t>
  </si>
  <si>
    <t>Platform admin controls every tenant.</t>
  </si>
  <si>
    <t>Login needs 6-digit code.</t>
  </si>
  <si>
    <t>v1.2</t>
  </si>
  <si>
    <t>6.19</t>
  </si>
  <si>
    <t>Support sessions</t>
  </si>
  <si>
    <t>Time-limited, audited, owner-consented access to a tenant's data for support.</t>
  </si>
  <si>
    <t>Support without sharing passwords.</t>
  </si>
  <si>
    <t>Every session in audit.</t>
  </si>
  <si>
    <t>v2.0</t>
  </si>
  <si>
    <t>6.20</t>
  </si>
  <si>
    <t>Refresh token cleanup job</t>
  </si>
  <si>
    <t>Scheduled deletion of expired/revoked tokens.</t>
  </si>
  <si>
    <t>Table grows forever otherwise.</t>
  </si>
  <si>
    <t>Job removes old rows.</t>
  </si>
  <si>
    <t>6.21</t>
  </si>
  <si>
    <t>PostgreSQL Row-Level Security</t>
  </si>
  <si>
    <t>Policy using app.tenant_id set per connection; app role must not own tables.</t>
  </si>
  <si>
    <t>Second isolation layer under the EF filter.</t>
  </si>
  <si>
    <t>Raw query without tenant returns nothing.</t>
  </si>
  <si>
    <t>7.17</t>
  </si>
  <si>
    <t>7.1</t>
  </si>
  <si>
    <t>7 Data model</t>
  </si>
  <si>
    <t>Branch entity + default branch</t>
  </si>
  <si>
    <t>Branches(Id, TenantId, Name, Code, Address, Phone, IsActive). Seed one 'Main' branch for Demo Shop. Composite unique (TenantId, Code).</t>
  </si>
  <si>
    <t>Sales and stock are per location; adding it later means rewriting every sales/stock row.</t>
  </si>
  <si>
    <t>Migration applied; Demo Shop has 1 branch; query filter hides other tenants' branches.</t>
  </si>
  <si>
    <t>7.2</t>
  </si>
  <si>
    <t>Category entity</t>
  </si>
  <si>
    <t>Categories(Id, TenantId, Name, ParentId nullable, IsActive). Unique (TenantId, Name).</t>
  </si>
  <si>
    <t>Products need grouping for the POS screen and reports.</t>
  </si>
  <si>
    <t>Table exists with tenant filter and unique index.</t>
  </si>
  <si>
    <t>7.3</t>
  </si>
  <si>
    <t>Extend Product</t>
  </si>
  <si>
    <t>Add CategoryId, Sku, Barcode, Price (numeric(18,2)), CostPrice, TaxRate (default 0), TrackStock bool, ReorderLevel (numeric(18,3)), UnitOfMeasure (piece, kg, litre, ...; default piece), IsActive, CreatedAtUtc, UpdatedAtUtc, RowVersion. Unique (TenantId, Sku) and (TenantId, Barcode) where not null. Composite FK (TenantId, CategoryId) to Categories.</t>
  </si>
  <si>
    <t>Composite FK makes cross-tenant category references impossible at database level. Decimal money avoids rounding bugs. A unit of measure is needed because shops sell sugar, rice and oil by weight or volume.</t>
  </si>
  <si>
    <t>Inserting a product pointing at another tenant's category fails in the database.</t>
  </si>
  <si>
    <t>7.4</t>
  </si>
  <si>
    <t>Sale and SaleItem entities</t>
  </si>
  <si>
    <t>Sales(Id uuid client-generated, TenantId, BranchId, TerminalId nullable, CashierUserId, CustomerId nullable, ReceiptNo, Status [Completed/Voided], Subtotal, DiscountTotal, TaxTotal, Total, AmountTendered, ChangeDue, BusinessDate (shop-local day, Africa/Nairobi), CreatedAtUtc, ClientCreatedAtUtc, VoidedAtUtc, VoidReason, VoidedByUserId). SaleItems(Id, TenantId, SaleId, ProductId, ProductNameSnapshot, SkuSnapshot, Quantity numeric(18,3), UnitPrice, LineDiscount, TaxRate, LineTotal). Composite FK (TenantId, SaleId) on SaleItems.</t>
  </si>
  <si>
    <t>Snapshots keep old receipts correct after a product is renamed or repriced. Client-generated Id is what makes retries and offline sync idempotent. BusinessDate stops a late-night sale landing on the wrong day in reports.</t>
  </si>
  <si>
    <t>Both tables migrated; unique (TenantId, BranchId, ReceiptNo); a SaleItem pointing at another tenant's sale fails in the database.</t>
  </si>
  <si>
    <t>7.1, 7.3</t>
  </si>
  <si>
    <t>7.5</t>
  </si>
  <si>
    <t>Payment entity</t>
  </si>
  <si>
    <t>Payments(Id, TenantId, SaleId, Method [Cash/Mpesa/Card/Other], Amount, Reference nullable, Status [Confirmed], CreatedAtUtc). Composite FK (TenantId, SaleId) to Sales. Unique (TenantId, Reference) where Method = Mpesa and Reference is not null.</t>
  </si>
  <si>
    <t>Separating payments from sales supports split payments, M-Pesa references and later refunds.</t>
  </si>
  <si>
    <t>Table exists; method stored as string enum.</t>
  </si>
  <si>
    <t>7.6</t>
  </si>
  <si>
    <t>StockMovement ledger</t>
  </si>
  <si>
    <t>StockMovements(Id uuid, TenantId, BranchId, ProductId, QuantityDelta numeric(18,3), Reason [Sale/Receive/Adjust/Return/Void/Opening], SourceType, SourceId, Note, UserId, CreatedAtUtc). Append-only: no update/delete in code. Index (TenantId, BranchId, ProductId). Composite FKs to Branches and Products.</t>
  </si>
  <si>
    <t>Stock = sum of movements. An auditable ledger beats a mutable quantity column that cannot explain itself.</t>
  </si>
  <si>
    <t>On-hand quantity query returns correct sum per product/branch.</t>
  </si>
  <si>
    <t>7.7</t>
  </si>
  <si>
    <t>AuditLogs table (business actions)</t>
  </si>
  <si>
    <t>AuditLogs(Id, TenantId, UserId, Action, EntityType, EntityId, DetailsJson, CreatedAtUtc). Written for price change, void, stock adjustment, user/role change.</t>
  </si>
  <si>
    <t>Answers 'who changed what' disputes in a shop. Separate from AuthAuditEvents (sign-in events).</t>
  </si>
  <si>
    <t>Row written when a product price changes.</t>
  </si>
  <si>
    <t>7.8</t>
  </si>
  <si>
    <t>SyncOperations table (shape only)</t>
  </si>
  <si>
    <t>SyncOperations(Id uuid, TenantId, DeviceId, Type, PayloadJson, Status [Received/Applied/Rejected], ReceivedAtUtc, AppliedAtUtc, Error). Create now, use in Step 13.</t>
  </si>
  <si>
    <t>Guide says design idempotency early. Creating the table now avoids a risky late migration.</t>
  </si>
  <si>
    <t>Table migrated; unused by v1.0 endpoints.</t>
  </si>
  <si>
    <t>7.9</t>
  </si>
  <si>
    <t>Terminals table</t>
  </si>
  <si>
    <t>Terminals(Id, TenantId, BranchId, Name, IsActive).</t>
  </si>
  <si>
    <t>Needed for receipts, cashier shifts and one-offline-device-per-branch rule.</t>
  </si>
  <si>
    <t>Table migrated; one default terminal seeded.</t>
  </si>
  <si>
    <t>v1.1</t>
  </si>
  <si>
    <t>7.10</t>
  </si>
  <si>
    <t>Customers table (minimal)</t>
  </si>
  <si>
    <t>Customers(Id, TenantId, Name, Phone). Optional link on Sale.</t>
  </si>
  <si>
    <t>Credit sales and loyalty need it; small shops in Mandera often sell on credit.</t>
  </si>
  <si>
    <t>Optional CustomerId on Sale; filter works.</t>
  </si>
  <si>
    <t>7.11</t>
  </si>
  <si>
    <t>StockLevels balance table</t>
  </si>
  <si>
    <t>StockLevels(TenantId, BranchId, ProductId, OnHand numeric(18,3), UpdatedAtUtc). Composite primary key (TenantId, BranchId, ProductId). Updated in the same transaction as every StockMovement. Check constraint OnHand &gt;= 0 is optional (see 9.6).</t>
  </si>
  <si>
    <t>Summing the whole ledger on every sale is slow, and cannot safely stop two cashiers selling the last unit at once. A balance row can be locked and checked; the ledger stays as the audit trail.</t>
  </si>
  <si>
    <t>Balance equals the sum of movements for every product; test selling the last unit from two requests (11.7).</t>
  </si>
  <si>
    <t>7.12</t>
  </si>
  <si>
    <t>TenantSettings table</t>
  </si>
  <si>
    <t>TenantSettings(TenantId PK, CurrencyCode default KES, TaxInclusive, DefaultTaxRate, BusinessName, Address, Phone, ReceiptFooter, TaxPIN nullable, AllowNegativeStock default false). One row per tenant; Demo Shop seeded.</t>
  </si>
  <si>
    <t>Totals, receipts and the negative-stock rule depend on per-shop settings. Moved here from 9.2 so the checkout tables and settings are created in one migration.</t>
  </si>
  <si>
    <t>Demo Shop has one settings row; query filter hides other tenants' settings.</t>
  </si>
  <si>
    <t>7.13</t>
  </si>
  <si>
    <t>ReceiptCounters table</t>
  </si>
  <si>
    <t>ReceiptCounters(TenantId, BranchId, NextNumber, Prefix). Composite primary key (TenantId, BranchId). Seeded for the Main branch.</t>
  </si>
  <si>
    <t>Gap-free, readable receipt numbers need a row that can be locked inside the sale transaction; two simultaneous sales must never share a number (9.3).</t>
  </si>
  <si>
    <t>Table exists; Main branch counter seeded at 1.</t>
  </si>
  <si>
    <t>7.14</t>
  </si>
  <si>
    <t>User to branch assignment</t>
  </si>
  <si>
    <t>UserBranches(TenantId, UserId, BranchId). Composite primary key; composite FKs to TenantMemberships and Branches. Owner sees all branches; others only assigned ones.</t>
  </si>
  <si>
    <t>Without it, any cashier of the tenant can sell at or read any branch.</t>
  </si>
  <si>
    <t>Cashier assigned to Main only; a request for another branch is denied (tested in 9.4).</t>
  </si>
  <si>
    <t>7.15</t>
  </si>
  <si>
    <t>Tenant keys and audit columns on every new table</t>
  </si>
  <si>
    <t>Every new table carries TenantId and a composite FK to its parent (TenantId, ParentId), not just ParentId. All business tables get CreatedAtUtc and CreatedByUserId; master data also UpdatedAtUtc. Money numeric(18,2), quantities numeric(18,3), times in UTC.</t>
  </si>
  <si>
    <t>A payment or sale line must not be able to point at another shop's sale or product even through a coding mistake. Consistent columns make audit and reports simpler.</t>
  </si>
  <si>
    <t>Review of the generated SQL (7.17) shows no table with a single-column FK to a tenant-owned parent.</t>
  </si>
  <si>
    <t>7.4, 7.5, 7.6</t>
  </si>
  <si>
    <t>7.16</t>
  </si>
  <si>
    <t>Report indexes and demo seed data</t>
  </si>
  <si>
    <t>Index Sales (TenantId, BranchId, BusinessDate) and (TenantId, BranchId, CreatedAtUtc); Payments (TenantId, SaleId); StockMovements (TenantId, ProductId, CreatedAtUtc). Seed for Demo Shop: Main branch, default terminal, 'General' category, 5 sample products with opening stock.</t>
  </si>
  <si>
    <t>History and report screens always filter by tenant, branch and date, so those indexes are needed from the start. Sample data lets the first screens show something.</t>
  </si>
  <si>
    <t>EXPLAIN on the daily-sales query uses the index; Demo Shop lists sample products.</t>
  </si>
  <si>
    <t>7.4, 7.6</t>
  </si>
  <si>
    <t>Own migration when built.</t>
  </si>
  <si>
    <t>Migration AddCoreDataModel + review SQL</t>
  </si>
  <si>
    <t>One migration (AddCoreDataModel) for the critical tables 7.1-7.6, 7.11-7.13 and 7.15. Review the generated SQL before applying (dotnet ef migrations script): numeric not double, composite FKs and unique indexes present, no single-column FK to a tenant-owned parent. Tables from 7.7-7.10, 7.14 and 7.16 get their own small migration when their slice is built.</t>
  </si>
  <si>
    <t>Reading the SQL catches wrong types (e.g. double instead of numeric) before data exists.</t>
  </si>
  <si>
    <t>dotnet ef database update succeeds; \dt in psql shows the critical tables; app still starts and all tests pass.</t>
  </si>
  <si>
    <t>7.1-7.6, 7.11, 7.12, 7.13, 7.15</t>
  </si>
  <si>
    <t>8.1</t>
  </si>
  <si>
    <t>8 Products &amp; categories</t>
  </si>
  <si>
    <t>Category API</t>
  </si>
  <si>
    <t>GET /categories, POST, PUT /{id}, DELETE (soft: IsActive=false). Permissions: products.read / products.write.</t>
  </si>
  <si>
    <t>Category must exist before products can be organised.</t>
  </si>
  <si>
    <t>All endpoints return 401/403/404 correctly; tenant filter applied.</t>
  </si>
  <si>
    <t>8.2</t>
  </si>
  <si>
    <t>Product API: list with paging, search, filter</t>
  </si>
  <si>
    <t>GET /products?search=&amp;categoryId=&amp;page=&amp;pageSize=&amp;active= returning {items,total}. Search by name, SKU, barcode (case-insensitive, indexed). Max pageSize 100.</t>
  </si>
  <si>
    <t>Never load every product; shops can have thousands of SKUs.</t>
  </si>
  <si>
    <t>Searching 'sug' returns sugar; page 2 returns next items.</t>
  </si>
  <si>
    <t>8.3</t>
  </si>
  <si>
    <t>Product API: create, update, deactivate</t>
  </si>
  <si>
    <t>POST/PUT/DELETE(soft). Server validation: name required, price &gt;= 0, 2 decimals, SKU/barcode unique per tenant, category belongs to tenant, concurrency via RowVersion (409 on conflict). Return ProblemDetails with field errors.</t>
  </si>
  <si>
    <t>Server is the only trusted validator; frontend rules are convenience.</t>
  </si>
  <si>
    <t>Duplicate SKU returns 409/400 with clear message; other tenant's category ID returns 404.</t>
  </si>
  <si>
    <t>8.4</t>
  </si>
  <si>
    <t>Price change audit</t>
  </si>
  <si>
    <t>Write AuditLogs row (old price, new price, user) when price changes.</t>
  </si>
  <si>
    <t>Detects staff price tampering.</t>
  </si>
  <si>
    <t>Audit row appears after PUT with new price.</t>
  </si>
  <si>
    <t>7.7, 8.3</t>
  </si>
  <si>
    <t>8.5</t>
  </si>
  <si>
    <t>Opening stock on product create</t>
  </si>
  <si>
    <t>Optional OpeningQuantity creates a StockMovement(Reason=Opening) for the user's branch.</t>
  </si>
  <si>
    <t>Lets owner load existing shop stock without a separate step.</t>
  </si>
  <si>
    <t>On-hand equals opening quantity.</t>
  </si>
  <si>
    <t>7.6, 8.3</t>
  </si>
  <si>
    <t>8.6</t>
  </si>
  <si>
    <t>Barcode lookup endpoint</t>
  </si>
  <si>
    <t>GET /products/by-barcode/{code}.</t>
  </si>
  <si>
    <t>Barcode scanner types digits + Enter; need instant exact lookup.</t>
  </si>
  <si>
    <t>Returns product or 404 in under 100 ms locally.</t>
  </si>
  <si>
    <t>8.7</t>
  </si>
  <si>
    <t>Frontend: product list page</t>
  </si>
  <si>
    <t>Table with search box (debounced), category filter, pagination, active toggle, loading/empty/error states, low-stock badge.</t>
  </si>
  <si>
    <t>Daily-use screen for owner/stock controller.</t>
  </si>
  <si>
    <t>Refresh page keeps data from DB; empty state shows 'Add your first product'.</t>
  </si>
  <si>
    <t>Frontend</t>
  </si>
  <si>
    <t>8.8</t>
  </si>
  <si>
    <t>Frontend: product form</t>
  </si>
  <si>
    <t>Create/edit form with inline validation errors from server, price formatting (KES), category picker, save/cancel, prevents double submit.</t>
  </si>
  <si>
    <t>Reduces data-entry errors.</t>
  </si>
  <si>
    <t>Added product visible after refresh; validation message shown for duplicate SKU.</t>
  </si>
  <si>
    <t>8.9</t>
  </si>
  <si>
    <t>Frontend: category management</t>
  </si>
  <si>
    <t>Simple list + add/rename/deactivate dialog.</t>
  </si>
  <si>
    <t>Needed for the POS category filter.</t>
  </si>
  <si>
    <t>Category appears in product form dropdown.</t>
  </si>
  <si>
    <t>8.10</t>
  </si>
  <si>
    <t>Tenant isolation tests for products/categories</t>
  </si>
  <si>
    <t>Tests: tenant A cannot get, update, delete or list tenant B's products/categories; cashier cannot POST.</t>
  </si>
  <si>
    <t>Guide completion check for Step 8.</t>
  </si>
  <si>
    <t>Tests green and included in dotnet test.</t>
  </si>
  <si>
    <t>8.11</t>
  </si>
  <si>
    <t>Bulk import products from CSV</t>
  </si>
  <si>
    <t>Upload CSV (name, sku, barcode, price, category, opening qty), validate rows, report errors per line, insert in one transaction.</t>
  </si>
  <si>
    <t>Real shops have hundreds of items; typing them is the biggest adoption barrier.</t>
  </si>
  <si>
    <t>Import of 200 rows works; bad rows reported without partial insert.</t>
  </si>
  <si>
    <t>API+Frontend</t>
  </si>
  <si>
    <t>8.12</t>
  </si>
  <si>
    <t>Product images</t>
  </si>
  <si>
    <t>Optional image upload (size limit, type check) stored on disk/object storage.</t>
  </si>
  <si>
    <t>Helps cashier recognise items; not required for sale.</t>
  </si>
  <si>
    <t>Image shows in POS tile.</t>
  </si>
  <si>
    <t>8.13</t>
  </si>
  <si>
    <t>Product variants / units of measure</t>
  </si>
  <si>
    <t>Variants (size/colour) and unit conversions (carton to piece).</t>
  </si>
  <si>
    <t>Common in wholesale; adds complexity to stock.</t>
  </si>
  <si>
    <t>Sell by piece, receive by carton.</t>
  </si>
  <si>
    <t>DB+API</t>
  </si>
  <si>
    <t>9.1</t>
  </si>
  <si>
    <t>9 Checkout &amp; stock ledger</t>
  </si>
  <si>
    <t>Pricing and rounding rules (domain class)</t>
  </si>
  <si>
    <t>Pure C# class SaleCalculator: line total = round(qty*price - discount, 2, MidpointRounding.AwayFromZero); tax handling (inclusive/exclusive setting per tenant); totals from lines. No EF or HTTP inside.</t>
  </si>
  <si>
    <t>Money logic must be unit-testable and identical everywhere.</t>
  </si>
  <si>
    <t>Unit tests for rounding, discount, tax, zero qty pass.</t>
  </si>
  <si>
    <t>9.2</t>
  </si>
  <si>
    <t>Tenant settings (currency, tax, receipt header)</t>
  </si>
  <si>
    <t>TenantSettings: CurrencyCode (KES), TaxInclusive, DefaultTaxRate, BusinessName, Address, Phone, receipt footer, TaxPIN optional.</t>
  </si>
  <si>
    <t>Receipts and totals depend on them.</t>
  </si>
  <si>
    <t>GET/PUT /settings (owner only).</t>
  </si>
  <si>
    <t>Table is created in 7.12; this step adds the GET/PUT endpoints.</t>
  </si>
  <si>
    <t>9.3</t>
  </si>
  <si>
    <t>Receipt numbering</t>
  </si>
  <si>
    <t>Per branch sequential ReceiptNo generated server-side in the transaction (e.g. MAIN-000123) using a counter row with lock.</t>
  </si>
  <si>
    <t>Shops need readable, gap-free receipt numbers; UUID is not human friendly.</t>
  </si>
  <si>
    <t>Two concurrent sales never share a number.</t>
  </si>
  <si>
    <t>Counter table is created in 7.13; this step adds the numbering logic.</t>
  </si>
  <si>
    <t>POST /sales (checkout) in one transaction</t>
  </si>
  <si>
    <t>Request: saleId (client UUID), branchId, items[{productId, quantity}], payments[{method, amount, reference}]. Server re-reads prices from DB, validates product active/belongs to tenant, qty &gt; 0, branch belongs to user's membership, payment &gt;= total. Creates Sale, SaleItems, Payments, StockMovements(-qty) atomically.</t>
  </si>
  <si>
    <t>Never trust browser totals. A single transaction means no half-saved sale.</t>
  </si>
  <si>
    <t>Forced failure mid-way leaves zero rows in all tables.</t>
  </si>
  <si>
    <t>9.1, 9.3, 7.4-7.6, 7.11, 7.13</t>
  </si>
  <si>
    <t>No stock check until 9.6 (negative stock policy); stock ledger and StockLevels are updated in the same transaction.</t>
  </si>
  <si>
    <t>9.5</t>
  </si>
  <si>
    <t>Idempotent sale submission</t>
  </si>
  <si>
    <t>If saleId already exists for tenant, return the stored sale (200) rather than creating another. Unique index on (TenantId, Id).</t>
  </si>
  <si>
    <t>Network retries and later offline sync must not duplicate sales.</t>
  </si>
  <si>
    <t>Posting same saleId twice yields one sale and one set of stock movements.</t>
  </si>
  <si>
    <t>9.6</t>
  </si>
  <si>
    <t>Negative stock policy</t>
  </si>
  <si>
    <t>Tenant setting AllowNegativeStock (default false). If false and on-hand &lt; qty, return 409 listing products. Use row lock / serializable check on product stock during checkout.</t>
  </si>
  <si>
    <t>Prevents overselling; shop decides strictness.</t>
  </si>
  <si>
    <t>Selling more than on-hand is rejected when setting is off.</t>
  </si>
  <si>
    <t>9.7</t>
  </si>
  <si>
    <t>Cash payment, change due</t>
  </si>
  <si>
    <t>Cash tendered vs total; change = tendered - total, stored on Payment.</t>
  </si>
  <si>
    <t>Cashier needs change figure on screen and receipt.</t>
  </si>
  <si>
    <t>Receipt shows tendered and change.</t>
  </si>
  <si>
    <t>9.8</t>
  </si>
  <si>
    <t>M-Pesa (manual reference) and other payment methods</t>
  </si>
  <si>
    <t>Accept method=Mpesa with transaction code reference (validated format, unique per tenant), split payments (cash + M-Pesa). No live API call in v1.0.</t>
  </si>
  <si>
    <t>Most Kenyan retail takes M-Pesa; recording the code gives reconciliation without integration risk.</t>
  </si>
  <si>
    <t>Sale with Mpesa reference saved; duplicate reference rejected.</t>
  </si>
  <si>
    <t>9.9</t>
  </si>
  <si>
    <t>Discounts</t>
  </si>
  <si>
    <t>Per-line and per-sale discount (amount or %), permission sales.discount, max % per role, audit entry.</t>
  </si>
  <si>
    <t>Common POS need; permission-gated to prevent abuse.</t>
  </si>
  <si>
    <t>Cashier over limit is denied; manager allowed.</t>
  </si>
  <si>
    <t>9.10</t>
  </si>
  <si>
    <t>Sales history API</t>
  </si>
  <si>
    <t>GET /sales?from=&amp;to=&amp;branchId=&amp;cashierId=&amp;page=; GET /sales/{id} with items and payments. Cashier sees only own sales unless permission sales.read.all.</t>
  </si>
  <si>
    <t>Owner reviews the day; guide requires history.</t>
  </si>
  <si>
    <t>Sale appears once; other tenant's sale is 404.</t>
  </si>
  <si>
    <t>9.11</t>
  </si>
  <si>
    <t>Void sale</t>
  </si>
  <si>
    <t>POST /sales/{id}/void with reason; permission sales.void; sets Status=Voided and adds reversing StockMovements(+qty, Reason=Void); never deletes rows.</t>
  </si>
  <si>
    <t>Mistakes happen; ledger must stay traceable.</t>
  </si>
  <si>
    <t>Stock restored; audit row; second void rejected.</t>
  </si>
  <si>
    <t>9.12</t>
  </si>
  <si>
    <t>Returns / refunds</t>
  </si>
  <si>
    <t>Return items against a sale: reversing stock movements, refund payment record, limit to sold quantity.</t>
  </si>
  <si>
    <t>Customers return goods; needed within weeks of real use.</t>
  </si>
  <si>
    <t>Cannot return more than sold.</t>
  </si>
  <si>
    <t>9.13</t>
  </si>
  <si>
    <t>Stock receiving (purchases-lite)</t>
  </si>
  <si>
    <t>POST /stock/receive {branchId, items[{productId, qty, unitCost}], supplierName?, note} creates StockMovements(Receive) and updates cost price optionally. Permission stock.write.</t>
  </si>
  <si>
    <t>Without receiving, stock only goes down and shows wrong numbers.</t>
  </si>
  <si>
    <t>On-hand increases; audit written.</t>
  </si>
  <si>
    <t>9.14</t>
  </si>
  <si>
    <t>Stock adjustment (count correction, damage)</t>
  </si>
  <si>
    <t>POST /stock/adjust with reason (Damage, Expired, CountCorrection) and mandatory note.</t>
  </si>
  <si>
    <t>Physical stock rarely matches system.</t>
  </si>
  <si>
    <t>Adjustment row visible in movement history.</t>
  </si>
  <si>
    <t>9.15</t>
  </si>
  <si>
    <t>Stock levels and movement history API</t>
  </si>
  <si>
    <t>GET /stock?branchId= (on-hand, reorder flag), GET /stock/{productId}/movements.</t>
  </si>
  <si>
    <t>Stock controller needs to see what is low and why.</t>
  </si>
  <si>
    <t>Totals match sum of ledger.</t>
  </si>
  <si>
    <t>9.16</t>
  </si>
  <si>
    <t>Reports: daily totals</t>
  </si>
  <si>
    <t>GET /reports/daily?date=&amp;branchId= returning sales count, gross, discounts, tax, totals by payment method, voids, top 10 products.</t>
  </si>
  <si>
    <t>Guide requires a simple daily report; shop closes the day with it.</t>
  </si>
  <si>
    <t>Numbers match manual sum of sales.</t>
  </si>
  <si>
    <t>9.17</t>
  </si>
  <si>
    <t>Cashier shift / cash drawer (open, close, variance)</t>
  </si>
  <si>
    <t>Open shift with float, close with counted cash; variance = counted - (float + cash sales).</t>
  </si>
  <si>
    <t>Controls theft and till shortages.</t>
  </si>
  <si>
    <t>Variance computed and stored.</t>
  </si>
  <si>
    <t>9.18</t>
  </si>
  <si>
    <t>Suppliers and purchase orders</t>
  </si>
  <si>
    <t>Suppliers, POs, receive against PO, supplier payments.</t>
  </si>
  <si>
    <t>Guide defers supplier workflows; keep after core sale.</t>
  </si>
  <si>
    <t>PO received creates stock movements.</t>
  </si>
  <si>
    <t>9.19</t>
  </si>
  <si>
    <t>Domain/unit + integration tests for checkout</t>
  </si>
  <si>
    <t>Unit tests for calculator; API tests for atomic rollback, idempotency, negative stock, void, tenant isolation on sales.</t>
  </si>
  <si>
    <t>Money code must have the densest tests.</t>
  </si>
  <si>
    <t>All pass in CI.</t>
  </si>
  <si>
    <t>9.1, 9.3-9.5, 9.7, 9.8</t>
  </si>
  <si>
    <t>10.1</t>
  </si>
  <si>
    <t>10 End-to-end workflow</t>
  </si>
  <si>
    <t>Frontend app shell, routing, auth guard</t>
  </si>
  <si>
    <t>React Router, layout with sidebar, role-based menu items, redirect to sign-in when 401.</t>
  </si>
  <si>
    <t>Gives structure for all screens.</t>
  </si>
  <si>
    <t>Unauthenticated user sees sign-in only.</t>
  </si>
  <si>
    <t>10.2</t>
  </si>
  <si>
    <t>Sign-in screen + session handling</t>
  </si>
  <si>
    <t>Form posts /auth/login; access token kept in memory; silent refresh via cookie on page load and on 401; logout calls /auth/logout.</t>
  </si>
  <si>
    <t>Matches Step 6.11 design; avoids tokens in localStorage.</t>
  </si>
  <si>
    <t>Refresh the page and stay signed in; logout clears session.</t>
  </si>
  <si>
    <t>10.3</t>
  </si>
  <si>
    <t>API client wrapper</t>
  </si>
  <si>
    <t>Single fetch wrapper adding Authorization, handling 401 refresh retry once, ProblemDetails parsing, timeouts, offline/unavailable message. Base URL from VITE_API_URL.</t>
  </si>
  <si>
    <t>One place for error handling and config.</t>
  </si>
  <si>
    <t>Stopping the API shows a friendly message.</t>
  </si>
  <si>
    <t>10.4</t>
  </si>
  <si>
    <t>Load /me, tenant, branch selection</t>
  </si>
  <si>
    <t>After login fetch user, tenant name, permissions, allowed branches; store selected branch (persist per device).</t>
  </si>
  <si>
    <t>POS must know the branch before selling.</t>
  </si>
  <si>
    <t>Header shows shop and branch names.</t>
  </si>
  <si>
    <t>Frontend+API</t>
  </si>
  <si>
    <t>10.2, 7.1</t>
  </si>
  <si>
    <t>10.5</t>
  </si>
  <si>
    <t>POS sale screen</t>
  </si>
  <si>
    <t>Product search/barcode input (Enter adds item), category tiles, cart with +/- quantity and remove, live totals, hold/clear cart, keyboard shortcuts.</t>
  </si>
  <si>
    <t>Core cashier workflow; speed matters.</t>
  </si>
  <si>
    <t>Cashier can build a 5-item cart in under 30 seconds.</t>
  </si>
  <si>
    <t>Search by name first; barcode scan (8.6) is added in slice H2.</t>
  </si>
  <si>
    <t>10.6</t>
  </si>
  <si>
    <t>Payment dialog</t>
  </si>
  <si>
    <t>Cash/M-Pesa/split, tendered amount, change due, reference input; generates saleId UUID before sending; disables button while submitting.</t>
  </si>
  <si>
    <t>Client UUID + disabled button prevents duplicates.</t>
  </si>
  <si>
    <t>Completed sale appears once in history.</t>
  </si>
  <si>
    <t>9.4, 10.5</t>
  </si>
  <si>
    <t>10.7</t>
  </si>
  <si>
    <t>Receipt view and print</t>
  </si>
  <si>
    <t>Receipt component (shop header, items, totals, payment, receipt no, cashier, footer), browser print CSS for 58/80 mm thermal paper, reprint from history.</t>
  </si>
  <si>
    <t>Customers expect a receipt.</t>
  </si>
  <si>
    <t>Print preview fits 80 mm width.</t>
  </si>
  <si>
    <t>Uses default KES and generic header until 9.2 (settings endpoints) is built.</t>
  </si>
  <si>
    <t>10.8</t>
  </si>
  <si>
    <t>Sales history screen</t>
  </si>
  <si>
    <t>Date range, cashier filter, list with totals, detail drawer, void button (permission-gated).</t>
  </si>
  <si>
    <t>Owner/manager review.</t>
  </si>
  <si>
    <t>Void changes status and stock.</t>
  </si>
  <si>
    <t>10.9</t>
  </si>
  <si>
    <t>Daily report screen</t>
  </si>
  <si>
    <t>Date picker, totals cards, payment method breakdown, top products, print.</t>
  </si>
  <si>
    <t>Closing the day.</t>
  </si>
  <si>
    <t>Matches API report.</t>
  </si>
  <si>
    <t>10.10</t>
  </si>
  <si>
    <t>Stock screens</t>
  </si>
  <si>
    <t>Stock levels with low-stock filter, receive stock form, adjustment form, movement history.</t>
  </si>
  <si>
    <t>Stock controller workflow.</t>
  </si>
  <si>
    <t>Receiving updates on-hand immediately.</t>
  </si>
  <si>
    <t>9.13-9.15</t>
  </si>
  <si>
    <t>10.11</t>
  </si>
  <si>
    <t>User management (owner)</t>
  </si>
  <si>
    <t>Owner invites/creates staff user in own tenant, assigns role, deactivates membership, resets password (temporary password forced change). API: /users, /users/{id}/role, /users/{id}/deactivate.</t>
  </si>
  <si>
    <t>Owner cannot onboard cashiers without it; today only seeded users exist.</t>
  </si>
  <si>
    <t>New cashier can sign in; deactivated cashier is denied at next request.</t>
  </si>
  <si>
    <t>10.12</t>
  </si>
  <si>
    <t>Change own password / forced change</t>
  </si>
  <si>
    <t>POST /auth/change-password; revoke all refresh tokens afterwards.</t>
  </si>
  <si>
    <t>Basic account hygiene.</t>
  </si>
  <si>
    <t>Old password stops working.</t>
  </si>
  <si>
    <t>10.13</t>
  </si>
  <si>
    <t>Password reset by email</t>
  </si>
  <si>
    <t>Reset link via email provider, token expiry, rate limit.</t>
  </si>
  <si>
    <t>Needs email infrastructure; owner can reset staff passwords in v1.0.</t>
  </si>
  <si>
    <t>Reset email arrives and works once.</t>
  </si>
  <si>
    <t>10.14</t>
  </si>
  <si>
    <t>Global error and empty states, toasts</t>
  </si>
  <si>
    <t>Consistent loading spinners, error boundary, toast messages.</t>
  </si>
  <si>
    <t>Usability baseline.</t>
  </si>
  <si>
    <t>No unhandled blank screens.</t>
  </si>
  <si>
    <t>10.15</t>
  </si>
  <si>
    <t>Environment config and narrow CORS</t>
  </si>
  <si>
    <t>Cors:Origins set to the frontend URL only; VITE_API_URL in .env files; no secrets in frontend.</t>
  </si>
  <si>
    <t>Guide requirement.</t>
  </si>
  <si>
    <t>Request from another origin is blocked.</t>
  </si>
  <si>
    <t>Config</t>
  </si>
  <si>
    <t>10.16</t>
  </si>
  <si>
    <t>Milestone check: complete one sale in browser</t>
  </si>
  <si>
    <t>Manual script: sign in, add product, sell it, view receipt, see sale in history and row in PostgreSQL.</t>
  </si>
  <si>
    <t>Guide milestone for Step 10.</t>
  </si>
  <si>
    <t>Checklist signed off.</t>
  </si>
  <si>
    <t>10.1-10.7</t>
  </si>
  <si>
    <t>11.1</t>
  </si>
  <si>
    <t>11 Tests</t>
  </si>
  <si>
    <t>Domain unit tests (xUnit)</t>
  </si>
  <si>
    <t>Calculator, discount, tax, rounding, stock rules.</t>
  </si>
  <si>
    <t>Pure logic is cheapest to test.</t>
  </si>
  <si>
    <t>Green with at least 25 cases.</t>
  </si>
  <si>
    <t>11.2</t>
  </si>
  <si>
    <t>API integration tests on pos_test database</t>
  </si>
  <si>
    <t>WebApplicationFactory; tests for product CRUD, checkout atomicity, idempotency, validation, auth and permissions.</t>
  </si>
  <si>
    <t>Catches regressions across layers.</t>
  </si>
  <si>
    <t>Suite runs from dotnet test.</t>
  </si>
  <si>
    <t>11.3</t>
  </si>
  <si>
    <t>Tenant isolation test matrix</t>
  </si>
  <si>
    <t>Generated tests across every tenant-owned endpoint: A cannot list/get/update/delete B's records; user without membership gets 403.</t>
  </si>
  <si>
    <t>Guide's non-negotiable.</t>
  </si>
  <si>
    <t>Every endpoint appears in the matrix.</t>
  </si>
  <si>
    <t>8.10, 9.4</t>
  </si>
  <si>
    <t>11.4</t>
  </si>
  <si>
    <t>Frontend tests (Vitest + Testing Library)</t>
  </si>
  <si>
    <t>Product form validation, cart totals, error display, auth guard.</t>
  </si>
  <si>
    <t>Prevents UI regressions in cashier flow.</t>
  </si>
  <si>
    <t>npm test passes.</t>
  </si>
  <si>
    <t>11.5</t>
  </si>
  <si>
    <t>End-to-end test (Playwright)</t>
  </si>
  <si>
    <t>Sign in, add product, checkout, verify history. Runs against test DB.</t>
  </si>
  <si>
    <t>Proves the whole stack.</t>
  </si>
  <si>
    <t>Test passes headless locally.</t>
  </si>
  <si>
    <t>11.6</t>
  </si>
  <si>
    <t>CI pipeline (GitHub Actions)</t>
  </si>
  <si>
    <t>On push: dotnet build/test with PostgreSQL service, npm ci/lint/test/build.</t>
  </si>
  <si>
    <t>Guide: tests in the normal build.</t>
  </si>
  <si>
    <t>Green check on commits.</t>
  </si>
  <si>
    <t>11.7</t>
  </si>
  <si>
    <t>Concurrency test: two sales of last unit</t>
  </si>
  <si>
    <t>Two parallel checkout requests for stock of 1: one succeeds, one gets 409.</t>
  </si>
  <si>
    <t>Foreshadows offline conflicts.</t>
  </si>
  <si>
    <t>Test deterministic.</t>
  </si>
  <si>
    <t>12.1</t>
  </si>
  <si>
    <t>12 PWA &amp; offline</t>
  </si>
  <si>
    <t>PWA manifest + service worker (vite-plugin-pwa)</t>
  </si>
  <si>
    <t>Manifest, icons, installable, precache app shell only; update prompt on new version.</t>
  </si>
  <si>
    <t>Required for offline start and install on shop PC/phone.</t>
  </si>
  <si>
    <t>Lighthouse installable check passes.</t>
  </si>
  <si>
    <t>12.2</t>
  </si>
  <si>
    <t>Dexie database schema</t>
  </si>
  <si>
    <t>Tables: products, categories, stockSnapshot, pendingSales, syncQueue, meta (lastPullAt, deviceId). Schema versioning.</t>
  </si>
  <si>
    <t>Durable local storage in IndexedDB.</t>
  </si>
  <si>
    <t>Data survives browser restart.</t>
  </si>
  <si>
    <t>12.3</t>
  </si>
  <si>
    <t>Local product cache + refresh</t>
  </si>
  <si>
    <t>Pull products/categories/prices after login and periodically; search runs against IndexedDB when offline.</t>
  </si>
  <si>
    <t>Cashier needs catalogue offline.</t>
  </si>
  <si>
    <t>Search works with network disabled.</t>
  </si>
  <si>
    <t>12.2, 13.7</t>
  </si>
  <si>
    <t>12.4</t>
  </si>
  <si>
    <t>Offline checkout</t>
  </si>
  <si>
    <t>Same cart UI; builds sale with client UUID and local receipt no (device prefix), writes sale + payment + local stock movement + queue entry in ONE Dexie transaction.</t>
  </si>
  <si>
    <t>Atomic local save avoids lost sales.</t>
  </si>
  <si>
    <t>Offline sale persists after closing browser.</t>
  </si>
  <si>
    <t>12.2, 9.4</t>
  </si>
  <si>
    <t>12.5</t>
  </si>
  <si>
    <t>Online/offline indicator and queue states</t>
  </si>
  <si>
    <t>Badge online/offline; per-sale state pending/syncing/synced/failed; count of pending items.</t>
  </si>
  <si>
    <t>Cashier must know what is unsynced.</t>
  </si>
  <si>
    <t>Indicator changes on network toggle.</t>
  </si>
  <si>
    <t>12.6</t>
  </si>
  <si>
    <t>Offline authentication rules</t>
  </si>
  <si>
    <t>Allow already signed-in session to continue offline for limited hours; require online sign-in for new devices; never cache passwords.</t>
  </si>
  <si>
    <t>Balance usability and security.</t>
  </si>
  <si>
    <t>Documented and tested behaviour on expiry.</t>
  </si>
  <si>
    <t>12.7</t>
  </si>
  <si>
    <t>Locally calculated vs server-confirmed stock</t>
  </si>
  <si>
    <t>Show local estimate with label; store lastConfirmedStock and pending deltas.</t>
  </si>
  <si>
    <t>Offline stock is not authoritative.</t>
  </si>
  <si>
    <t>UI shows 'unconfirmed' tag offline.</t>
  </si>
  <si>
    <t>12.8</t>
  </si>
  <si>
    <t>Offline receipts and local sales list</t>
  </si>
  <si>
    <t>View/print receipts for pending sales; list of today's offline sales.</t>
  </si>
  <si>
    <t>Customers still need receipts.</t>
  </si>
  <si>
    <t>Receipt prints offline.</t>
  </si>
  <si>
    <t>12.9</t>
  </si>
  <si>
    <t>Local data protection</t>
  </si>
  <si>
    <t>Clear local data on logout; warn about shared PCs; optional encryption of queue.</t>
  </si>
  <si>
    <t>Offline data contains business data.</t>
  </si>
  <si>
    <t>Logout empties Dexie tables.</t>
  </si>
  <si>
    <t>12.10</t>
  </si>
  <si>
    <t>Offline test pass</t>
  </si>
  <si>
    <t>Manual script: go offline, refresh, search, sell, close browser, reopen, still there.</t>
  </si>
  <si>
    <t>Guide completion check.</t>
  </si>
  <si>
    <t>13.1</t>
  </si>
  <si>
    <t>13 Synchronization</t>
  </si>
  <si>
    <t>Sync endpoint POST /sync/sales</t>
  </si>
  <si>
    <t>Accepts batch of sales with operationId and deviceId; validates each as in 9.4; returns per-item result Applied/Duplicate/Rejected(reason).</t>
  </si>
  <si>
    <t>Single entry for queued sales.</t>
  </si>
  <si>
    <t>Batch of 3 returns 3 results.</t>
  </si>
  <si>
    <t>9.5, 7.8</t>
  </si>
  <si>
    <t>13.2</t>
  </si>
  <si>
    <t>Idempotency via SyncOperations</t>
  </si>
  <si>
    <t>Record operationId before applying; replays return original result; unique (TenantId, OperationId).</t>
  </si>
  <si>
    <t>Retries must never duplicate.</t>
  </si>
  <si>
    <t>Same batch sent twice creates one set of rows.</t>
  </si>
  <si>
    <t>13.3</t>
  </si>
  <si>
    <t>Client sync engine</t>
  </si>
  <si>
    <t>Ordered queue processing (oldest first), exponential backoff, only one sync at a time, resumes on reconnect and app start, handles 401 by refreshing token.</t>
  </si>
  <si>
    <t>Reliable delivery.</t>
  </si>
  <si>
    <t>Kill network mid-sync; resumes cleanly.</t>
  </si>
  <si>
    <t>13.4</t>
  </si>
  <si>
    <t>Failure handling and manual retry</t>
  </si>
  <si>
    <t>Failed items kept with error message, 'Retry' and 'Needs attention' list for manager; no silent drop.</t>
  </si>
  <si>
    <t>Guide: retry and recovery.</t>
  </si>
  <si>
    <t>Rejected sale visible with reason.</t>
  </si>
  <si>
    <t>13.5</t>
  </si>
  <si>
    <t>Conflict policy: insufficient stock on sync</t>
  </si>
  <si>
    <t>Default: accept the sale (goods already handed over), record stock as negative and flag 'Stock conflict' for manager review. Never overwrite silently.</t>
  </si>
  <si>
    <t>A completed sale cannot be undone; stock needs reconciling.</t>
  </si>
  <si>
    <t>Flag appears in manager inbox.</t>
  </si>
  <si>
    <t>13.6</t>
  </si>
  <si>
    <t>Price/product changed while offline</t>
  </si>
  <si>
    <t>Sale keeps the price the customer was charged (snapshot); server logs difference vs current price.</t>
  </si>
  <si>
    <t>Customer paid agreed price.</t>
  </si>
  <si>
    <t>Mismatch recorded not rejected.</t>
  </si>
  <si>
    <t>13.7</t>
  </si>
  <si>
    <t>Pull changes endpoint</t>
  </si>
  <si>
    <t>GET /sync/changes?since=cursor returns products, categories, prices, stock for branch; cursor-based using UpdatedAt/version.</t>
  </si>
  <si>
    <t>Keeps local cache fresh.</t>
  </si>
  <si>
    <t>Edited product appears on device after pull.</t>
  </si>
  <si>
    <t>13.8</t>
  </si>
  <si>
    <t>Sync logging and diagnostics screen</t>
  </si>
  <si>
    <t>Server logs operationId, device, outcome; screen shows last sync time, pending count, errors; export diagnostics.</t>
  </si>
  <si>
    <t>Troubleshooting in the field.</t>
  </si>
  <si>
    <t>Support can see why a sale failed.</t>
  </si>
  <si>
    <t>13.9</t>
  </si>
  <si>
    <t>One offline terminal per branch rule</t>
  </si>
  <si>
    <t>Register device; server rejects offline sync from second unregistered terminal or warns.</t>
  </si>
  <si>
    <t>Guide recommended first-release limit.</t>
  </si>
  <si>
    <t>Second device flagged.</t>
  </si>
  <si>
    <t>13.10</t>
  </si>
  <si>
    <t>Sync tests</t>
  </si>
  <si>
    <t>Interrupted connection, duplicate batch, app restart mid-sync, two devices selling last unit, clock skew.</t>
  </si>
  <si>
    <t>Guide step 13 test list.</t>
  </si>
  <si>
    <t>All scenarios automated or scripted.</t>
  </si>
  <si>
    <t>13.1-13.5</t>
  </si>
  <si>
    <t>13.11</t>
  </si>
  <si>
    <t>Multi-terminal offline stock reservation</t>
  </si>
  <si>
    <t>Allocate stock quotas per terminal or use conflict resolution UI.</t>
  </si>
  <si>
    <t>Guide: only after single-device is stable.</t>
  </si>
  <si>
    <t>Two offline terminals reconcile.</t>
  </si>
  <si>
    <t>14.1</t>
  </si>
  <si>
    <t>14 SaaS management</t>
  </si>
  <si>
    <t>Platform: tenant onboarding wizard</t>
  </si>
  <si>
    <t>Platform admin creates tenant + owner + default branch + default roles in one transaction (builds on 6.12e POST /platform/tenants). Returns one-time temporary password.</t>
  </si>
  <si>
    <t>How you add customers without SQL.</t>
  </si>
  <si>
    <t>New shop can sign in right away.</t>
  </si>
  <si>
    <t>14.2</t>
  </si>
  <si>
    <t>Tenant suspend/reactivate</t>
  </si>
  <si>
    <t>Status Suspended blocks all tenant sign-ins and API calls with clear message; platform audit entry.</t>
  </si>
  <si>
    <t>Non-payment or abuse handling.</t>
  </si>
  <si>
    <t>Suspended tenant gets 403 on next request.</t>
  </si>
  <si>
    <t>14.3</t>
  </si>
  <si>
    <t>Plans, trial dates, entitlements</t>
  </si>
  <si>
    <t>Plans(Name, MaxBranches, MaxUsers, MaxProducts, Features), Subscriptions(TenantId, PlanId, Status, TrialEndsAt, CurrentPeriodEnd). Enforced in API with clear error.</t>
  </si>
  <si>
    <t>Limits and trial control revenue.</t>
  </si>
  <si>
    <t>Creating user over the limit is rejected.</t>
  </si>
  <si>
    <t>14.4</t>
  </si>
  <si>
    <t>Manual billing status</t>
  </si>
  <si>
    <t>Platform admin marks paid until date (no payment provider yet); expired subscription -&gt; read-only grace then suspend.</t>
  </si>
  <si>
    <t>Guide: don't build billing before core; manual works for first customers.</t>
  </si>
  <si>
    <t>Expired tenant becomes read-only.</t>
  </si>
  <si>
    <t>14.5</t>
  </si>
  <si>
    <t>Billing provider integration (separate module)</t>
  </si>
  <si>
    <t>M-Pesa Daraja/Stripe webhooks verified server-side; only mark paid on verified event.</t>
  </si>
  <si>
    <t>Guide requirement; automation later.</t>
  </si>
  <si>
    <t>Webhook signature verified; idempotent.</t>
  </si>
  <si>
    <t>14.6</t>
  </si>
  <si>
    <t>Platform dashboard</t>
  </si>
  <si>
    <t>List tenants with status, plan, last activity, sales count, sync failures.</t>
  </si>
  <si>
    <t>Operate many customers.</t>
  </si>
  <si>
    <t>Filter by status works.</t>
  </si>
  <si>
    <t>14.8</t>
  </si>
  <si>
    <t>Platform audit and health monitoring</t>
  </si>
  <si>
    <t>Structured logging (Serilog), /health/ready with DB check, uptime ping, error alerts by email.</t>
  </si>
  <si>
    <t>Know it is down before customers do.</t>
  </si>
  <si>
    <t>Alert fires when DB is stopped.</t>
  </si>
  <si>
    <t>14.9</t>
  </si>
  <si>
    <t>Database backup and restore test</t>
  </si>
  <si>
    <t>Scheduled pg_dump (daily), keep 14 days, off-machine copy; documented restore into a fresh DB and verified.</t>
  </si>
  <si>
    <t>Untested backups are not backups.</t>
  </si>
  <si>
    <t>Restore drill succeeds and sales counts match.</t>
  </si>
  <si>
    <t>14.10</t>
  </si>
  <si>
    <t>Dedicated installation / licensing process</t>
  </si>
  <si>
    <t>Document install, license key, update and backup process for self-hosted customers.</t>
  </si>
  <si>
    <t>Guide: decide before promising offline-only editions.</t>
  </si>
  <si>
    <t>One-page procedure written.</t>
  </si>
  <si>
    <t>Docs</t>
  </si>
  <si>
    <t>15.1</t>
  </si>
  <si>
    <t>15 Repeatable run</t>
  </si>
  <si>
    <t>README: setup and daily run</t>
  </si>
  <si>
    <t>Prerequisites, creating pos and pos_test databases, user-secrets for JWT key/seed passwords (names only), migrations, run API, run frontend, run tests.</t>
  </si>
  <si>
    <t>Guide: new developer reliability.</t>
  </si>
  <si>
    <t>Fresh clone works following only the README.</t>
  </si>
  <si>
    <t>15.2</t>
  </si>
  <si>
    <t>Environment variables reference</t>
  </si>
  <si>
    <t>Table of every setting (ConnectionStrings__Default, Jwt__*, Seed__*, Cors__Origins, RateLimit__*, VITE_API_URL) with example non-secret values.</t>
  </si>
  <si>
    <t>Avoids guesswork and leaked secrets.</t>
  </si>
  <si>
    <t>Every setting used in code is listed.</t>
  </si>
  <si>
    <t>15.3</t>
  </si>
  <si>
    <t>Start script (start-dev.ps1)</t>
  </si>
  <si>
    <t>PowerShell script: checks PostgreSQL service, applies migrations, starts API and frontend in two windows.</t>
  </si>
  <si>
    <t>One command to run the app daily.</t>
  </si>
  <si>
    <t>Script launches both and opens browser.</t>
  </si>
  <si>
    <t>15.4</t>
  </si>
  <si>
    <t>Seed demo data</t>
  </si>
  <si>
    <t>Dev-only seeder for categories, 30 products, opening stock, sample sales.</t>
  </si>
  <si>
    <t>Quick demos and manual testing.</t>
  </si>
  <si>
    <t>Seeder only runs in Development.</t>
  </si>
  <si>
    <t>15.5</t>
  </si>
  <si>
    <t>Final runnable checklist</t>
  </si>
  <si>
    <t>Frontend no console errors, health ok, DB connected, sign-in, product persists, cash sale in history, isolation tests pass.</t>
  </si>
  <si>
    <t>Guide's verification list.</t>
  </si>
  <si>
    <t>All items ticked.</t>
  </si>
  <si>
    <t>15.6</t>
  </si>
  <si>
    <t>Common failures section</t>
  </si>
  <si>
    <t>Port in use, wrong connection string, migration pending, lockout, CORS, missing env vars - with fixes.</t>
  </si>
  <si>
    <t>Saves repeated troubleshooting.</t>
  </si>
  <si>
    <t>At least 8 entries.</t>
  </si>
  <si>
    <t>16.1</t>
  </si>
  <si>
    <t>16 Release &amp; operations (added)</t>
  </si>
  <si>
    <t>Production configuration</t>
  </si>
  <si>
    <t>Production appsettings, secrets from environment/secret store, HTTPS, forwarded headers, Secure cookies, HSTS.</t>
  </si>
  <si>
    <t>Local settings are unsafe online.</t>
  </si>
  <si>
    <t>Checklist passes on staging.</t>
  </si>
  <si>
    <t>Hosting decision and deployment</t>
  </si>
  <si>
    <t>Choose host (single VPS with Docker Compose: API, PostgreSQL, Caddy/Nginx for HTTPS, static frontend). Document deploy and rollback.</t>
  </si>
  <si>
    <t>Needed to give real shops access.</t>
  </si>
  <si>
    <t>App reachable over HTTPS on a domain.</t>
  </si>
  <si>
    <t>16.3</t>
  </si>
  <si>
    <t>Database migration process in production</t>
  </si>
  <si>
    <t>Generate SQL script, take backup, apply, verify; never auto-migrate on startup in production.</t>
  </si>
  <si>
    <t>Safe schema changes.</t>
  </si>
  <si>
    <t>Runbook written and rehearsed.</t>
  </si>
  <si>
    <t>Restricted database user</t>
  </si>
  <si>
    <t>App connects as non-superuser with CRUD only; migrations use separate owner account; AuthAuditEvents append-only.</t>
  </si>
  <si>
    <t>Limits damage from a bug or breach.</t>
  </si>
  <si>
    <t>App user cannot DROP tables.</t>
  </si>
  <si>
    <t>16.5</t>
  </si>
  <si>
    <t>Pilot with one real shop</t>
  </si>
  <si>
    <t>Load real products, run parallel with paper for one week, collect issues list.</t>
  </si>
  <si>
    <t>Real usage reveals missing basics.</t>
  </si>
  <si>
    <t>Issue list triaged to v1.1.</t>
  </si>
  <si>
    <t>16.6</t>
  </si>
  <si>
    <t>Kenya compliance review (KRA eTIMS / VAT)</t>
  </si>
  <si>
    <t>Check whether target customers must issue eTIMS-compliant invoices and what integration is required.</t>
  </si>
  <si>
    <t>Regulatory requirement may affect receipt design; verify current KRA rules before building.</t>
  </si>
  <si>
    <t>Written decision: needed / not needed / later.</t>
  </si>
  <si>
    <t>16.7</t>
  </si>
  <si>
    <t>Swahili/English UI</t>
  </si>
  <si>
    <t>Translation files, language switch.</t>
  </si>
  <si>
    <t>Local staff usability.</t>
  </si>
  <si>
    <t>Cashier screen switches language.</t>
  </si>
  <si>
    <t>16.9</t>
  </si>
  <si>
    <t>Basic analytics and exports</t>
  </si>
  <si>
    <t>Date-range sales, product, stock-valuation reports with CSV export.</t>
  </si>
  <si>
    <t>Owners ask for exports quickly.</t>
  </si>
  <si>
    <t>CSV opens correctly in Excel.</t>
  </si>
  <si>
    <t>Goal</t>
  </si>
  <si>
    <t>Ships when</t>
  </si>
  <si>
    <t>Critical tasks</t>
  </si>
  <si>
    <t>% done</t>
  </si>
  <si>
    <t>Online POS - first usable release</t>
  </si>
  <si>
    <t>Tenant-safe sign-in, products/categories, cash + M-Pesa-reference checkout, receipts, sales history, stock ledger (receive/adjust), daily report, staff management, backups, deployed and piloted in one shop.</t>
  </si>
  <si>
    <t>One real shop sells for a week with no data loss; isolation and checkout tests green.</t>
  </si>
  <si>
    <t>Offline single device + sync</t>
  </si>
  <si>
    <t>PWA install, local catalogue, offline checkout, safe idempotent sync, conflict flags, CSV product import, discounts, returns.</t>
  </si>
  <si>
    <t>Sell offline on one device per branch and sync with zero duplicates.</t>
  </si>
  <si>
    <t>Tenant onboarding, plans/trials, manual billing, platform dashboard and MFA, shifts, exports, monitoring, Swahili.</t>
  </si>
  <si>
    <t>You can onboard and manage several shops without touching the database.</t>
  </si>
  <si>
    <t>Scale and compliance</t>
  </si>
  <si>
    <t>RLS, automated billing, multi-terminal offline, suppliers/POs, variants, images, support sessions, eTIMS review, dedicated installs.</t>
  </si>
  <si>
    <t>Chosen per customer demand.</t>
  </si>
  <si>
    <t>Priority = how important a task is; Version = when it ships. They are independent. Filter Priority = P0 Critical to see what must exist for the app to be safe and correct.</t>
  </si>
  <si>
    <t>Meaning</t>
  </si>
  <si>
    <t>Examples</t>
  </si>
  <si>
    <t>Must be in place. The app is unsafe or wrong without it.</t>
  </si>
  <si>
    <t>Tenant isolation, sign-in, rate limiting, money maths, checkout, stock ledger, backups</t>
  </si>
  <si>
    <t>Very important. Needed for real daily use of the shop.</t>
  </si>
  <si>
    <t>Audit log, daily reports, stock receiving, offline sync, tenant onboarding</t>
  </si>
  <si>
    <t>Important. Makes the app good, but a shop can start without it.</t>
  </si>
  <si>
    <t>Price-change audit, CSV import, shifts, CI pipeline</t>
  </si>
  <si>
    <t>Can be skipped now and added later.</t>
  </si>
  <si>
    <t>Password reset by email, Swahili UI, start script</t>
  </si>
  <si>
    <t>Can do without.</t>
  </si>
  <si>
    <t>Product images, customers table, support sessions</t>
  </si>
  <si>
    <t>#</t>
  </si>
  <si>
    <t>Requirement in the guide</t>
  </si>
  <si>
    <t>Where it is covered</t>
  </si>
  <si>
    <t>What exists / what is missing</t>
  </si>
  <si>
    <t>Next action</t>
  </si>
  <si>
    <t>Tenant, User and TenantMembership with a tenant-specific role</t>
  </si>
  <si>
    <t>6.1 to 6.5</t>
  </si>
  <si>
    <t>Entities, Identity tables and migration are in place.</t>
  </si>
  <si>
    <t>None.</t>
  </si>
  <si>
    <t>Roles: platform administrator, business owner, manager, cashier, stock controller</t>
  </si>
  <si>
    <t>6.8, 6.12</t>
  </si>
  <si>
    <t>Four tenant roles are seeded. The platform administrator (separate sign-in, scope=platform token, no tenant data access) has full steps and code.</t>
  </si>
  <si>
    <t>Build 6.12a to 6.12f and pass PlatformAdminTests.</t>
  </si>
  <si>
    <t>Tenant resolved from the validated authenticated context, never from a browser-sent TenantId</t>
  </si>
  <si>
    <t>Tenant comes from the signed tid claim. The product create request has no tenant field.</t>
  </si>
  <si>
    <t>Check permission and membership on every protected operation</t>
  </si>
  <si>
    <t>Policy handler checks active membership, active tenant and role permission on /products and /me. Sales endpoints do not exist yet.</t>
  </si>
  <si>
    <t>Apply the same policies to sales endpoints when they are built.</t>
  </si>
  <si>
    <t>Seed one development tenant and owner account; no hard-coded credentials</t>
  </si>
  <si>
    <t>Owner and platform admin credentials come from user-secrets. Seeders run in Development only.</t>
  </si>
  <si>
    <t>Tests that try to reach another tenant's records and expect denial</t>
  </si>
  <si>
    <t>6.6, 6.10b</t>
  </si>
  <si>
    <t>Isolation tests pass (5). The end-to-end authorization tests (6) are written; the test files still have to be added and run.</t>
  </si>
  <si>
    <t>Add ApiFactory, AuthorizationTests and DbCollection.</t>
  </si>
  <si>
    <t>Check: users can sign in; a user without membership cannot query a tenant's products or sales</t>
  </si>
  <si>
    <t>6.9, 6.10b</t>
  </si>
  <si>
    <t>Sign-in works. The no-membership test for products is written, not yet run. Sales do not exist yet.</t>
  </si>
  <si>
    <t>Run the tests; add the sales version when sales endpoints exist.</t>
  </si>
  <si>
    <t>Item</t>
  </si>
  <si>
    <t>Title</t>
  </si>
  <si>
    <t>Required by guide?</t>
  </si>
  <si>
    <t>Notes</t>
  </si>
  <si>
    <t>Domain base types (ITenantOwned, TenantEntity)</t>
  </si>
  <si>
    <t>Yes</t>
  </si>
  <si>
    <t>Permissions and system role entities</t>
  </si>
  <si>
    <t>Tenant, TenantMembership and Product entities</t>
  </si>
  <si>
    <t>AppDbContext: Identity, query filter and SaveChanges tenant rules</t>
  </si>
  <si>
    <t>Tenant-isolation tests</t>
  </si>
  <si>
    <t>5 tests passing when POS_TEST_CONNECTION is set.</t>
  </si>
  <si>
    <t>Applied to pos_dev.</t>
  </si>
  <si>
    <t>Seed roles, demo tenant and owner account</t>
  </si>
  <si>
    <t>Credentials from user-secrets.</t>
  </si>
  <si>
    <t>Sign-in endpoint, JWT with sub and tid claims, and /me</t>
  </si>
  <si>
    <t>Lockout after 5 failed attempts for 15 minutes.</t>
  </si>
  <si>
    <t>Committed.</t>
  </si>
  <si>
    <t>Add and run ApiFactory, AuthorizationTests and DbCollection</t>
  </si>
  <si>
    <t>Needs Microsoft.AspNetCore.Mvc.Testing in Pos.Tests.</t>
  </si>
  <si>
    <t>6.11</t>
  </si>
  <si>
    <t>Refresh tokens with rotation, reuse detection and logout (migration AddRefreshTokens, RefreshTokenTests)</t>
  </si>
  <si>
    <t>Beyond guide</t>
  </si>
  <si>
    <t>HttpOnly cookie scoped to /auth, SameSite=Strict, hashed in the database.</t>
  </si>
  <si>
    <t>Part of migration AddPlatformAdminAndAudit.</t>
  </si>
  <si>
    <t>TokenService: platform token (scope=platform, no tid, 10 minutes)</t>
  </si>
  <si>
    <t>Replace TokenService.cs.</t>
  </si>
  <si>
    <t>Platform admin requirement and handler (policy platform.admin)</t>
  </si>
  <si>
    <t>Re-checks the database flag and lockout on every call.</t>
  </si>
  <si>
    <t>PlatformAdminSeeder and user-secrets for platform admin</t>
  </si>
  <si>
    <t>Never promotes an existing user automatically.</t>
  </si>
  <si>
    <t>Platform endpoints: /platform/auth/login, /platform/tenants, /platform/audit</t>
  </si>
  <si>
    <t>Replaces the removed /dev/tenants endpoints.</t>
  </si>
  <si>
    <t>Platform admin cannot read tenant products; tenant owner cannot use platform endpoints.</t>
  </si>
  <si>
    <t>AuthAuditEvent entity, DbContext mapping and migration AddPlatformAdminAndAudit</t>
  </si>
  <si>
    <t>AuditLog service; audit refresh reuse and denial</t>
  </si>
  <si>
    <t>A failed audit write never breaks the request.</t>
  </si>
  <si>
    <t>Rate limiting on /auth/login, /auth/refresh and /platform/auth/login</t>
  </si>
  <si>
    <t>10 requests per minute per IP, configurable.</t>
  </si>
  <si>
    <t>Security headers, HSTS outside Development, configurable CORS origins</t>
  </si>
  <si>
    <t>Replace Program.cs, AuthEndpoints.cs; add PlatformEndpoints.cs.</t>
  </si>
  <si>
    <t>Audit, headers, no-store, CORS, rate limit.</t>
  </si>
  <si>
    <t>Step 6 sign-off: all 28 tests pass, commit, tag step-6-complete</t>
  </si>
  <si>
    <t>git tag step-6-complete.</t>
  </si>
  <si>
    <t>Later</t>
  </si>
  <si>
    <t>No-membership test for sales endpoints</t>
  </si>
  <si>
    <t>Add when sales endpoints exist.</t>
  </si>
  <si>
    <t>MFA for the platform administrator</t>
  </si>
  <si>
    <t>Before production</t>
  </si>
  <si>
    <t>Required before any production deployment.</t>
  </si>
  <si>
    <t>Support sessions: time-limited, audited access to a tenant's data</t>
  </si>
  <si>
    <t>Forwarded headers so rate limiting and audit see the real client IP</t>
  </si>
  <si>
    <t>Needed behind a proxy.</t>
  </si>
  <si>
    <t>Append-only audit permissions and retention period</t>
  </si>
  <si>
    <t>Restrict UPDATE and DELETE on AuthAuditEvents for the app role.</t>
  </si>
  <si>
    <t>Cleanup job for expired refresh tokens</t>
  </si>
  <si>
    <t>Frontend sign-in: in-memory access token and automatic refresh</t>
  </si>
  <si>
    <t>Uses credentials: include and refresh on 401.</t>
  </si>
  <si>
    <t>PostgreSQL Row-Level Security as an extra tenant-isolation layer</t>
  </si>
  <si>
    <t>App role must not own the tables.</t>
  </si>
  <si>
    <t>Test class</t>
  </si>
  <si>
    <t>What it proves</t>
  </si>
  <si>
    <t>Expected tests</t>
  </si>
  <si>
    <t>TenantIsolationTests</t>
  </si>
  <si>
    <t>Query filter and SaveChanges block cross-tenant reads and writes</t>
  </si>
  <si>
    <t>AuthorizationTests</t>
  </si>
  <si>
    <t>No token, wrong role, no membership and another tenant's record are all denied</t>
  </si>
  <si>
    <t>RefreshTokenTests</t>
  </si>
  <si>
    <t>Cookie hardening, rotation, reuse detection, logout and suspended membership</t>
  </si>
  <si>
    <t>PlatformAdminTests</t>
  </si>
  <si>
    <t>Platform admin separated from tenant data; tenant users cannot use platform endpoints</t>
  </si>
  <si>
    <t>HardeningTests</t>
  </si>
  <si>
    <t>Audit log, security headers, no-store, CORS origins and rate limiting</t>
  </si>
  <si>
    <t>Total expected</t>
  </si>
  <si>
    <t>Passing and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</si>
</sst>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</font>
    <font>
      <sz val="10"/>
      <name val="Arial"/>
    </font>
    <font>
      <i/>
      <sz val="9"/>
      <name val="Arial"/>
    </font>
    <font>
      <b/>
      <sz val="10"/>
      <name val="Arial"/>
    </font>
    <font>
      <i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C4"/>
        <bgColor rgb="FFFFFF99"/>
      </patternFill>
    </fill>
    <fill>
      <patternFill patternType="solid">
        <fgColor rgb="FF1F3A5F"/>
      </patternFill>
    </fill>
    <fill>
      <patternFill patternType="solid">
        <fgColor rgb="FFFFF9C4"/>
      </patternFill>
    </fill>
    <fill>
      <patternFill patternType="solid">
        <fgColor rgb="FF00B050"/>
        <bgColor indexed="64"/>
      </patternFill>
    </fill>
    <fill>
      <patternFill patternType="solid">
        <fgColor rgb="FFEF9A9A"/>
        <bgColor rgb="FFEF9A9A"/>
      </patternFill>
    </fill>
    <fill>
      <patternFill patternType="solid">
        <fgColor rgb="FFFFCC80"/>
        <bgColor rgb="FFFFCC80"/>
      </patternFill>
    </fill>
    <fill>
      <patternFill patternType="solid">
        <fgColor rgb="FFFFF3C4"/>
        <bgColor rgb="FFFFF3C4"/>
      </patternFill>
    </fill>
    <fill>
      <patternFill patternType="solid">
        <fgColor rgb="FFE0E0E0"/>
        <bgColor rgb="FFE0E0E0"/>
      </patternFill>
    </fill>
    <fill>
      <patternFill patternType="solid">
        <fgColor rgb="FFF5F5F5"/>
        <bgColor rgb="FFF5F5F5"/>
      </patternFill>
    </fill>
  </fills>
  <borders count="4">
    <border>
      <left/>
      <right/>
      <top/>
      <bottom/>
      <diagonal/>
    </border>
    <border>
      <left style="thin">
        <color rgb="FFBFC5CE"/>
      </left>
      <right style="thin">
        <color rgb="FFBFC5CE"/>
      </right>
      <top style="thin">
        <color rgb="FFBFC5CE"/>
      </top>
      <bottom style="thin">
        <color rgb="FFBFC5CE"/>
      </bottom>
      <diagonal/>
    </border>
    <border>
      <left style="thin">
        <color rgb="FFBFC5CE"/>
      </left>
      <right style="thin">
        <color rgb="FFBFC5CE"/>
      </right>
      <top style="thin">
        <color rgb="FFBFC5CE"/>
      </top>
      <bottom style="thin">
        <color rgb="FFBFC5C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9" fontId="5" fillId="0" borderId="1" xfId="0" applyNumberFormat="1" applyFont="1" applyBorder="1" applyAlignment="1">
      <alignment horizontal="right"/>
    </xf>
    <xf numFmtId="0" fontId="5" fillId="0" borderId="0" xfId="0" applyFont="1"/>
    <xf numFmtId="0" fontId="4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right" vertical="top"/>
    </xf>
    <xf numFmtId="0" fontId="5" fillId="0" borderId="0" xfId="0" applyFont="1" applyAlignment="1">
      <alignment horizontal="right"/>
    </xf>
    <xf numFmtId="0" fontId="9" fillId="0" borderId="0" xfId="0" applyFont="1"/>
    <xf numFmtId="0" fontId="6" fillId="4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vertical="top" wrapText="1"/>
    </xf>
    <xf numFmtId="0" fontId="7" fillId="5" borderId="2" xfId="0" applyFont="1" applyFill="1" applyBorder="1" applyAlignment="1">
      <alignment vertical="top" wrapText="1"/>
    </xf>
    <xf numFmtId="0" fontId="6" fillId="4" borderId="2" xfId="0" applyFont="1" applyFill="1" applyBorder="1"/>
    <xf numFmtId="0" fontId="7" fillId="0" borderId="2" xfId="0" applyFont="1" applyBorder="1"/>
    <xf numFmtId="9" fontId="7" fillId="0" borderId="2" xfId="0" applyNumberFormat="1" applyFont="1" applyBorder="1"/>
    <xf numFmtId="0" fontId="8" fillId="0" borderId="0" xfId="0" applyFont="1"/>
    <xf numFmtId="0" fontId="7" fillId="6" borderId="2" xfId="0" applyFont="1" applyFill="1" applyBorder="1" applyAlignment="1">
      <alignment vertical="top" wrapText="1"/>
    </xf>
    <xf numFmtId="0" fontId="0" fillId="6" borderId="0" xfId="0" applyFill="1"/>
    <xf numFmtId="0" fontId="6" fillId="4" borderId="3" xfId="0" applyFont="1" applyFill="1" applyBorder="1" applyAlignment="1">
      <alignment vertical="center" wrapText="1"/>
    </xf>
    <xf numFmtId="0" fontId="9" fillId="7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9" fillId="8" borderId="3" xfId="0" applyFont="1" applyFill="1" applyBorder="1" applyAlignment="1">
      <alignment vertical="top" wrapText="1"/>
    </xf>
    <xf numFmtId="0" fontId="9" fillId="9" borderId="3" xfId="0" applyFont="1" applyFill="1" applyBorder="1" applyAlignment="1">
      <alignment vertical="top" wrapText="1"/>
    </xf>
    <xf numFmtId="0" fontId="9" fillId="10" borderId="3" xfId="0" applyFont="1" applyFill="1" applyBorder="1" applyAlignment="1">
      <alignment vertical="top" wrapText="1"/>
    </xf>
    <xf numFmtId="0" fontId="9" fillId="11" borderId="3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7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7" fillId="9" borderId="3" xfId="0" applyFont="1" applyFill="1" applyBorder="1" applyAlignment="1">
      <alignment vertical="top" wrapText="1"/>
    </xf>
    <xf numFmtId="0" fontId="7" fillId="10" borderId="3" xfId="0" applyFont="1" applyFill="1" applyBorder="1" applyAlignment="1">
      <alignment vertical="top" wrapText="1"/>
    </xf>
    <xf numFmtId="0" fontId="7" fillId="11" borderId="3" xfId="0" applyFont="1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17">
    <dxf>
      <fill>
        <patternFill>
          <bgColor rgb="FFE0E0E0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E0E0E0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>
          <bgColor rgb="FFE0E0E0"/>
        </patternFill>
      </fill>
    </dxf>
    <dxf>
      <fill>
        <patternFill>
          <bgColor rgb="FFFFE0B2"/>
        </patternFill>
      </fill>
    </dxf>
    <dxf>
      <fill>
        <patternFill>
          <bgColor rgb="FFC8E6C9"/>
        </patternFill>
      </fill>
    </dxf>
    <dxf>
      <fill>
        <patternFill patternType="solid">
          <fgColor rgb="FFCFD8DC"/>
          <bgColor rgb="FFCFD8DC"/>
        </patternFill>
      </fill>
    </dxf>
    <dxf>
      <fill>
        <patternFill patternType="solid">
          <fgColor rgb="FFFFE0B2"/>
          <bgColor rgb="FFFFE0B2"/>
        </patternFill>
      </fill>
    </dxf>
    <dxf>
      <fill>
        <patternFill patternType="solid">
          <fgColor rgb="FFC8E6C9"/>
          <bgColor rgb="FFC8E6C9"/>
        </patternFill>
      </fill>
    </dxf>
    <dxf>
      <font>
        <color rgb="FF8E8E8E"/>
      </font>
      <fill>
        <patternFill patternType="solid">
          <fgColor rgb="FFF5F5F5"/>
          <bgColor rgb="FFF5F5F5"/>
        </patternFill>
      </fill>
    </dxf>
    <dxf>
      <fill>
        <patternFill patternType="solid">
          <fgColor rgb="FFE0E0E0"/>
          <bgColor rgb="FFE0E0E0"/>
        </patternFill>
      </fill>
    </dxf>
    <dxf>
      <fill>
        <patternFill patternType="solid">
          <fgColor rgb="FFFFF3C4"/>
          <bgColor rgb="FFFFF3C4"/>
        </patternFill>
      </fill>
    </dxf>
    <dxf>
      <font>
        <b/>
      </font>
      <fill>
        <patternFill patternType="solid">
          <fgColor rgb="FFFFCC80"/>
          <bgColor rgb="FFFFCC80"/>
        </patternFill>
      </fill>
    </dxf>
    <dxf>
      <font>
        <b/>
      </font>
      <fill>
        <patternFill patternType="solid">
          <fgColor rgb="FFEF9A9A"/>
          <bgColor rgb="FFEF9A9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E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zoomScaleNormal="100" workbookViewId="0"/>
  </sheetViews>
  <sheetFormatPr defaultColWidth="8.7109375" defaultRowHeight="15" x14ac:dyDescent="0.25"/>
  <cols>
    <col min="1" max="1" width="34" customWidth="1"/>
    <col min="2" max="4" width="20" customWidth="1"/>
  </cols>
  <sheetData>
    <row r="1" spans="1:4" ht="17.45" customHeight="1" x14ac:dyDescent="0.25">
      <c r="A1" s="1" t="s">
        <v>119</v>
      </c>
    </row>
    <row r="2" spans="1:4" ht="15" customHeight="1" x14ac:dyDescent="0.25">
      <c r="A2" s="2" t="s">
        <v>120</v>
      </c>
    </row>
    <row r="4" spans="1:4" ht="15" customHeight="1" x14ac:dyDescent="0.25">
      <c r="A4" s="3" t="s">
        <v>121</v>
      </c>
      <c r="B4" s="3" t="s">
        <v>122</v>
      </c>
      <c r="C4" s="3" t="s">
        <v>123</v>
      </c>
      <c r="D4" s="3" t="s">
        <v>124</v>
      </c>
    </row>
    <row r="5" spans="1:4" ht="15" customHeight="1" x14ac:dyDescent="0.25">
      <c r="A5" s="4" t="s">
        <v>6</v>
      </c>
      <c r="B5" s="5">
        <f>COUNTIF(Requirements!$D$2:$D$8,A5)</f>
        <v>4</v>
      </c>
      <c r="C5" s="5">
        <f>COUNTIF('Sub-steps'!$C$2:$C$33,A5)</f>
        <v>10</v>
      </c>
      <c r="D5" s="5">
        <f>SUMIF(Tests!$D$2:$D$6,A5,Tests!$C$2:$C$6)</f>
        <v>5</v>
      </c>
    </row>
    <row r="6" spans="1:4" ht="15" customHeight="1" x14ac:dyDescent="0.25">
      <c r="A6" s="4" t="s">
        <v>125</v>
      </c>
      <c r="B6" s="5">
        <f>COUNTIF(Requirements!$D$2:$D$8,A6)</f>
        <v>3</v>
      </c>
      <c r="C6" s="5">
        <f>COUNTIF('Sub-steps'!$C$2:$C$33,A6)</f>
        <v>14</v>
      </c>
      <c r="D6" s="5">
        <f>SUMIF(Tests!$D$2:$D$6,A6,Tests!$C$2:$C$6)</f>
        <v>23</v>
      </c>
    </row>
    <row r="7" spans="1:4" ht="15" customHeight="1" x14ac:dyDescent="0.25">
      <c r="A7" s="4" t="s">
        <v>126</v>
      </c>
      <c r="B7" s="5">
        <f>COUNTIF(Requirements!$D$2:$D$8,A7)</f>
        <v>0</v>
      </c>
      <c r="C7" s="5">
        <f>COUNTIF('Sub-steps'!$C$2:$C$33,A7)</f>
        <v>8</v>
      </c>
      <c r="D7" s="5">
        <f>SUMIF(Tests!$D$2:$D$6,A7,Tests!$C$2:$C$6)</f>
        <v>0</v>
      </c>
    </row>
    <row r="8" spans="1:4" ht="15" customHeight="1" x14ac:dyDescent="0.25">
      <c r="A8" s="6" t="s">
        <v>127</v>
      </c>
      <c r="B8" s="7">
        <f>SUM(B5:B7)</f>
        <v>7</v>
      </c>
      <c r="C8" s="7">
        <f>SUM(C5:C7)</f>
        <v>32</v>
      </c>
      <c r="D8" s="7">
        <f>SUM(D5:D7)</f>
        <v>28</v>
      </c>
    </row>
    <row r="9" spans="1:4" ht="15" customHeight="1" x14ac:dyDescent="0.25">
      <c r="A9" s="6" t="s">
        <v>128</v>
      </c>
      <c r="B9" s="8">
        <f>IF(B8=0,0,B5/B8)</f>
        <v>0.5714285714285714</v>
      </c>
      <c r="C9" s="8">
        <f>IF(C8=0,0,C5/C8)</f>
        <v>0.3125</v>
      </c>
      <c r="D9" s="8">
        <f>IF(D8=0,0,D5/D8)</f>
        <v>0.17857142857142858</v>
      </c>
    </row>
    <row r="11" spans="1:4" ht="15" customHeight="1" x14ac:dyDescent="0.25">
      <c r="A11" s="9" t="s">
        <v>129</v>
      </c>
    </row>
    <row r="12" spans="1:4" ht="15" customHeight="1" x14ac:dyDescent="0.25">
      <c r="A12" s="16" t="s">
        <v>130</v>
      </c>
    </row>
    <row r="13" spans="1:4" ht="15" customHeight="1" x14ac:dyDescent="0.25">
      <c r="A13" s="10" t="s">
        <v>131</v>
      </c>
    </row>
    <row r="14" spans="1:4" ht="15" customHeight="1" x14ac:dyDescent="0.25">
      <c r="A14" s="10" t="s">
        <v>132</v>
      </c>
    </row>
    <row r="16" spans="1:4" ht="15" customHeight="1" x14ac:dyDescent="0.25">
      <c r="A16" s="9" t="s">
        <v>133</v>
      </c>
    </row>
    <row r="17" spans="1:1" ht="15" customHeight="1" x14ac:dyDescent="0.25">
      <c r="A17" s="10" t="s">
        <v>134</v>
      </c>
    </row>
    <row r="18" spans="1:1" ht="15" customHeight="1" x14ac:dyDescent="0.25">
      <c r="A18" s="10" t="s">
        <v>135</v>
      </c>
    </row>
    <row r="19" spans="1:1" ht="15" customHeight="1" x14ac:dyDescent="0.25">
      <c r="A19" s="10" t="s">
        <v>136</v>
      </c>
    </row>
    <row r="20" spans="1:1" ht="15" customHeight="1" x14ac:dyDescent="0.25">
      <c r="A20" s="10" t="s">
        <v>137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workbookViewId="0">
      <pane ySplit="1" topLeftCell="A5" activePane="bottomLeft" state="frozen"/>
      <selection pane="bottomLeft"/>
    </sheetView>
  </sheetViews>
  <sheetFormatPr defaultRowHeight="15" x14ac:dyDescent="0.25"/>
  <cols>
    <col min="1" max="2" width="7" customWidth="1"/>
    <col min="3" max="3" width="13" customWidth="1"/>
    <col min="4" max="4" width="26" customWidth="1"/>
    <col min="5" max="5" width="46" customWidth="1"/>
    <col min="6" max="6" width="8" customWidth="1"/>
    <col min="7" max="7" width="7" customWidth="1"/>
    <col min="8" max="8" width="44" customWidth="1"/>
    <col min="9" max="9" width="46" customWidth="1"/>
  </cols>
  <sheetData>
    <row r="1" spans="1:9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</row>
    <row r="2" spans="1:9" ht="38.25" x14ac:dyDescent="0.25">
      <c r="A2" s="28">
        <v>1</v>
      </c>
      <c r="B2" s="33" t="s">
        <v>9</v>
      </c>
      <c r="C2" s="34" t="s">
        <v>10</v>
      </c>
      <c r="D2" s="33" t="s">
        <v>11</v>
      </c>
      <c r="E2" s="28" t="s">
        <v>12</v>
      </c>
      <c r="F2" s="28">
        <f>COUNTIF('Roadmap 6-16'!$N$2:$N$152,B2)</f>
        <v>21</v>
      </c>
      <c r="G2" s="28">
        <f>COUNTIFS('Roadmap 6-16'!$N$2:$N$152,B2,'Roadmap 6-16'!$L$2:$L$152,"Done")</f>
        <v>18</v>
      </c>
      <c r="H2" s="28" t="s">
        <v>13</v>
      </c>
      <c r="I2" s="28" t="s">
        <v>14</v>
      </c>
    </row>
    <row r="3" spans="1:9" ht="25.5" x14ac:dyDescent="0.25">
      <c r="A3" s="28">
        <v>2</v>
      </c>
      <c r="B3" s="33" t="s">
        <v>15</v>
      </c>
      <c r="C3" s="34" t="s">
        <v>10</v>
      </c>
      <c r="D3" s="33" t="s">
        <v>16</v>
      </c>
      <c r="E3" s="28" t="s">
        <v>17</v>
      </c>
      <c r="F3" s="28">
        <f>COUNTIF('Roadmap 6-16'!$N$2:$N$152,B3)</f>
        <v>11</v>
      </c>
      <c r="G3" s="28">
        <f>COUNTIFS('Roadmap 6-16'!$N$2:$N$152,B3,'Roadmap 6-16'!$L$2:$L$152,"Done")</f>
        <v>0</v>
      </c>
      <c r="H3" s="28" t="s">
        <v>18</v>
      </c>
      <c r="I3" s="28" t="s">
        <v>19</v>
      </c>
    </row>
    <row r="4" spans="1:9" ht="25.5" x14ac:dyDescent="0.25">
      <c r="A4" s="28">
        <v>3</v>
      </c>
      <c r="B4" s="33" t="s">
        <v>20</v>
      </c>
      <c r="C4" s="34" t="s">
        <v>10</v>
      </c>
      <c r="D4" s="33" t="s">
        <v>21</v>
      </c>
      <c r="E4" s="28" t="s">
        <v>22</v>
      </c>
      <c r="F4" s="28">
        <f>COUNTIF('Roadmap 6-16'!$N$2:$N$152,B4)</f>
        <v>4</v>
      </c>
      <c r="G4" s="28">
        <f>COUNTIFS('Roadmap 6-16'!$N$2:$N$152,B4,'Roadmap 6-16'!$L$2:$L$152,"Done")</f>
        <v>0</v>
      </c>
      <c r="H4" s="28" t="s">
        <v>23</v>
      </c>
      <c r="I4" s="28" t="s">
        <v>24</v>
      </c>
    </row>
    <row r="5" spans="1:9" ht="25.5" x14ac:dyDescent="0.25">
      <c r="A5" s="28">
        <v>4</v>
      </c>
      <c r="B5" s="33" t="s">
        <v>25</v>
      </c>
      <c r="C5" s="34" t="s">
        <v>10</v>
      </c>
      <c r="D5" s="33" t="s">
        <v>26</v>
      </c>
      <c r="E5" s="28" t="s">
        <v>27</v>
      </c>
      <c r="F5" s="28">
        <f>COUNTIF('Roadmap 6-16'!$N$2:$N$152,B5)</f>
        <v>11</v>
      </c>
      <c r="G5" s="28">
        <f>COUNTIFS('Roadmap 6-16'!$N$2:$N$152,B5,'Roadmap 6-16'!$L$2:$L$152,"Done")</f>
        <v>0</v>
      </c>
      <c r="H5" s="28" t="s">
        <v>28</v>
      </c>
      <c r="I5" s="28" t="s">
        <v>29</v>
      </c>
    </row>
    <row r="6" spans="1:9" ht="25.5" x14ac:dyDescent="0.25">
      <c r="A6" s="28">
        <v>5</v>
      </c>
      <c r="B6" s="33" t="s">
        <v>30</v>
      </c>
      <c r="C6" s="34" t="s">
        <v>10</v>
      </c>
      <c r="D6" s="33" t="s">
        <v>31</v>
      </c>
      <c r="E6" s="28" t="s">
        <v>32</v>
      </c>
      <c r="F6" s="28">
        <f>COUNTIF('Roadmap 6-16'!$N$2:$N$152,B6)</f>
        <v>10</v>
      </c>
      <c r="G6" s="28">
        <f>COUNTIFS('Roadmap 6-16'!$N$2:$N$152,B6,'Roadmap 6-16'!$L$2:$L$152,"Done")</f>
        <v>0</v>
      </c>
      <c r="H6" s="28" t="s">
        <v>33</v>
      </c>
      <c r="I6" s="28" t="s">
        <v>34</v>
      </c>
    </row>
    <row r="7" spans="1:9" ht="25.5" x14ac:dyDescent="0.25">
      <c r="A7" s="28">
        <v>6</v>
      </c>
      <c r="B7" s="33" t="s">
        <v>35</v>
      </c>
      <c r="C7" s="34" t="s">
        <v>10</v>
      </c>
      <c r="D7" s="33" t="s">
        <v>36</v>
      </c>
      <c r="E7" s="28" t="s">
        <v>37</v>
      </c>
      <c r="F7" s="28">
        <f>COUNTIF('Roadmap 6-16'!$N$2:$N$152,B7)</f>
        <v>6</v>
      </c>
      <c r="G7" s="28">
        <f>COUNTIFS('Roadmap 6-16'!$N$2:$N$152,B7,'Roadmap 6-16'!$L$2:$L$152,"Done")</f>
        <v>0</v>
      </c>
      <c r="H7" s="28" t="s">
        <v>38</v>
      </c>
      <c r="I7" s="28" t="s">
        <v>39</v>
      </c>
    </row>
    <row r="8" spans="1:9" ht="25.5" x14ac:dyDescent="0.25">
      <c r="A8" s="28">
        <v>7</v>
      </c>
      <c r="B8" s="33" t="s">
        <v>40</v>
      </c>
      <c r="C8" s="35" t="s">
        <v>41</v>
      </c>
      <c r="D8" s="33" t="s">
        <v>42</v>
      </c>
      <c r="E8" s="28" t="s">
        <v>43</v>
      </c>
      <c r="F8" s="28">
        <f>COUNTIF('Roadmap 6-16'!$N$2:$N$152,B8)</f>
        <v>9</v>
      </c>
      <c r="G8" s="28">
        <f>COUNTIFS('Roadmap 6-16'!$N$2:$N$152,B8,'Roadmap 6-16'!$L$2:$L$152,"Done")</f>
        <v>0</v>
      </c>
      <c r="H8" s="28" t="s">
        <v>44</v>
      </c>
      <c r="I8" s="28" t="s">
        <v>45</v>
      </c>
    </row>
    <row r="9" spans="1:9" ht="25.5" x14ac:dyDescent="0.25">
      <c r="A9" s="28">
        <v>8</v>
      </c>
      <c r="B9" s="33" t="s">
        <v>46</v>
      </c>
      <c r="C9" s="35" t="s">
        <v>41</v>
      </c>
      <c r="D9" s="33" t="s">
        <v>47</v>
      </c>
      <c r="E9" s="28" t="s">
        <v>48</v>
      </c>
      <c r="F9" s="28">
        <f>COUNTIF('Roadmap 6-16'!$N$2:$N$152,B9)</f>
        <v>7</v>
      </c>
      <c r="G9" s="28">
        <f>COUNTIFS('Roadmap 6-16'!$N$2:$N$152,B9,'Roadmap 6-16'!$L$2:$L$152,"Done")</f>
        <v>0</v>
      </c>
      <c r="H9" s="28" t="s">
        <v>49</v>
      </c>
      <c r="I9" s="28" t="s">
        <v>50</v>
      </c>
    </row>
    <row r="10" spans="1:9" ht="25.5" x14ac:dyDescent="0.25">
      <c r="A10" s="28">
        <v>9</v>
      </c>
      <c r="B10" s="33" t="s">
        <v>51</v>
      </c>
      <c r="C10" s="35" t="s">
        <v>41</v>
      </c>
      <c r="D10" s="33" t="s">
        <v>52</v>
      </c>
      <c r="E10" s="28" t="s">
        <v>53</v>
      </c>
      <c r="F10" s="28">
        <f>COUNTIF('Roadmap 6-16'!$N$2:$N$152,B10)</f>
        <v>4</v>
      </c>
      <c r="G10" s="28">
        <f>COUNTIFS('Roadmap 6-16'!$N$2:$N$152,B10,'Roadmap 6-16'!$L$2:$L$152,"Done")</f>
        <v>0</v>
      </c>
      <c r="H10" s="28" t="s">
        <v>54</v>
      </c>
      <c r="I10" s="28" t="s">
        <v>55</v>
      </c>
    </row>
    <row r="11" spans="1:9" ht="25.5" x14ac:dyDescent="0.25">
      <c r="A11" s="28">
        <v>10</v>
      </c>
      <c r="B11" s="33" t="s">
        <v>56</v>
      </c>
      <c r="C11" s="35" t="s">
        <v>41</v>
      </c>
      <c r="D11" s="33" t="s">
        <v>57</v>
      </c>
      <c r="E11" s="28" t="s">
        <v>58</v>
      </c>
      <c r="F11" s="28">
        <f>COUNTIF('Roadmap 6-16'!$N$2:$N$152,B11)</f>
        <v>8</v>
      </c>
      <c r="G11" s="28">
        <f>COUNTIFS('Roadmap 6-16'!$N$2:$N$152,B11,'Roadmap 6-16'!$L$2:$L$152,"Done")</f>
        <v>0</v>
      </c>
      <c r="H11" s="28" t="s">
        <v>59</v>
      </c>
      <c r="I11" s="28" t="s">
        <v>60</v>
      </c>
    </row>
    <row r="12" spans="1:9" ht="25.5" x14ac:dyDescent="0.25">
      <c r="A12" s="28">
        <v>11</v>
      </c>
      <c r="B12" s="33" t="s">
        <v>61</v>
      </c>
      <c r="C12" s="35" t="s">
        <v>41</v>
      </c>
      <c r="D12" s="33" t="s">
        <v>62</v>
      </c>
      <c r="E12" s="28" t="s">
        <v>63</v>
      </c>
      <c r="F12" s="28">
        <f>COUNTIF('Roadmap 6-16'!$N$2:$N$152,B12)</f>
        <v>8</v>
      </c>
      <c r="G12" s="28">
        <f>COUNTIFS('Roadmap 6-16'!$N$2:$N$152,B12,'Roadmap 6-16'!$L$2:$L$152,"Done")</f>
        <v>0</v>
      </c>
      <c r="H12" s="28" t="s">
        <v>64</v>
      </c>
      <c r="I12" s="28" t="s">
        <v>65</v>
      </c>
    </row>
    <row r="13" spans="1:9" ht="25.5" x14ac:dyDescent="0.25">
      <c r="A13" s="28">
        <v>12</v>
      </c>
      <c r="B13" s="33" t="s">
        <v>66</v>
      </c>
      <c r="C13" s="35" t="s">
        <v>41</v>
      </c>
      <c r="D13" s="33" t="s">
        <v>67</v>
      </c>
      <c r="E13" s="28" t="s">
        <v>68</v>
      </c>
      <c r="F13" s="28">
        <f>COUNTIF('Roadmap 6-16'!$N$2:$N$152,B13)</f>
        <v>7</v>
      </c>
      <c r="G13" s="28">
        <f>COUNTIFS('Roadmap 6-16'!$N$2:$N$152,B13,'Roadmap 6-16'!$L$2:$L$152,"Done")</f>
        <v>0</v>
      </c>
      <c r="H13" s="28" t="s">
        <v>69</v>
      </c>
      <c r="I13" s="28" t="s">
        <v>70</v>
      </c>
    </row>
    <row r="14" spans="1:9" x14ac:dyDescent="0.25">
      <c r="A14" s="28">
        <v>13</v>
      </c>
      <c r="B14" s="33" t="s">
        <v>71</v>
      </c>
      <c r="C14" s="35" t="s">
        <v>41</v>
      </c>
      <c r="D14" s="33" t="s">
        <v>72</v>
      </c>
      <c r="E14" s="28" t="s">
        <v>73</v>
      </c>
      <c r="F14" s="28">
        <f>COUNTIF('Roadmap 6-16'!$N$2:$N$152,B14)</f>
        <v>2</v>
      </c>
      <c r="G14" s="28">
        <f>COUNTIFS('Roadmap 6-16'!$N$2:$N$152,B14,'Roadmap 6-16'!$L$2:$L$152,"Done")</f>
        <v>0</v>
      </c>
      <c r="H14" s="28" t="s">
        <v>74</v>
      </c>
      <c r="I14" s="28" t="s">
        <v>75</v>
      </c>
    </row>
    <row r="15" spans="1:9" ht="25.5" x14ac:dyDescent="0.25">
      <c r="A15" s="28">
        <v>14</v>
      </c>
      <c r="B15" s="33" t="s">
        <v>76</v>
      </c>
      <c r="C15" s="36" t="s">
        <v>77</v>
      </c>
      <c r="D15" s="33" t="s">
        <v>78</v>
      </c>
      <c r="E15" s="28" t="s">
        <v>79</v>
      </c>
      <c r="F15" s="28">
        <f>COUNTIF('Roadmap 6-16'!$N$2:$N$152,B15)</f>
        <v>8</v>
      </c>
      <c r="G15" s="28">
        <f>COUNTIFS('Roadmap 6-16'!$N$2:$N$152,B15,'Roadmap 6-16'!$L$2:$L$152,"Done")</f>
        <v>1</v>
      </c>
      <c r="H15" s="28" t="s">
        <v>80</v>
      </c>
      <c r="I15" s="28" t="s">
        <v>81</v>
      </c>
    </row>
    <row r="16" spans="1:9" ht="25.5" x14ac:dyDescent="0.25">
      <c r="A16" s="28">
        <v>15</v>
      </c>
      <c r="B16" s="33" t="s">
        <v>82</v>
      </c>
      <c r="C16" s="36" t="s">
        <v>77</v>
      </c>
      <c r="D16" s="33" t="s">
        <v>83</v>
      </c>
      <c r="E16" s="28" t="s">
        <v>84</v>
      </c>
      <c r="F16" s="28">
        <f>COUNTIF('Roadmap 6-16'!$N$2:$N$152,B16)</f>
        <v>7</v>
      </c>
      <c r="G16" s="28">
        <f>COUNTIFS('Roadmap 6-16'!$N$2:$N$152,B16,'Roadmap 6-16'!$L$2:$L$152,"Done")</f>
        <v>0</v>
      </c>
      <c r="H16" s="28" t="s">
        <v>85</v>
      </c>
      <c r="I16" s="28" t="s">
        <v>86</v>
      </c>
    </row>
    <row r="17" spans="1:9" ht="25.5" x14ac:dyDescent="0.25">
      <c r="A17" s="28">
        <v>16</v>
      </c>
      <c r="B17" s="33" t="s">
        <v>87</v>
      </c>
      <c r="C17" s="36" t="s">
        <v>77</v>
      </c>
      <c r="D17" s="33" t="s">
        <v>88</v>
      </c>
      <c r="E17" s="28" t="s">
        <v>89</v>
      </c>
      <c r="F17" s="28">
        <f>COUNTIF('Roadmap 6-16'!$N$2:$N$152,B17)</f>
        <v>3</v>
      </c>
      <c r="G17" s="28">
        <f>COUNTIFS('Roadmap 6-16'!$N$2:$N$152,B17,'Roadmap 6-16'!$L$2:$L$152,"Done")</f>
        <v>0</v>
      </c>
      <c r="H17" s="28" t="s">
        <v>90</v>
      </c>
      <c r="I17" s="28" t="s">
        <v>91</v>
      </c>
    </row>
    <row r="18" spans="1:9" ht="25.5" x14ac:dyDescent="0.25">
      <c r="A18" s="28">
        <v>17</v>
      </c>
      <c r="B18" s="33" t="s">
        <v>92</v>
      </c>
      <c r="C18" s="36" t="s">
        <v>77</v>
      </c>
      <c r="D18" s="33" t="s">
        <v>93</v>
      </c>
      <c r="E18" s="28" t="s">
        <v>94</v>
      </c>
      <c r="F18" s="28">
        <f>COUNTIF('Roadmap 6-16'!$N$2:$N$152,B18)</f>
        <v>6</v>
      </c>
      <c r="G18" s="28">
        <f>COUNTIFS('Roadmap 6-16'!$N$2:$N$152,B18,'Roadmap 6-16'!$L$2:$L$152,"Done")</f>
        <v>0</v>
      </c>
      <c r="H18" s="28" t="s">
        <v>95</v>
      </c>
      <c r="I18" s="28" t="s">
        <v>96</v>
      </c>
    </row>
    <row r="19" spans="1:9" ht="25.5" x14ac:dyDescent="0.25">
      <c r="A19" s="28">
        <v>18</v>
      </c>
      <c r="B19" s="33" t="s">
        <v>97</v>
      </c>
      <c r="C19" s="36" t="s">
        <v>77</v>
      </c>
      <c r="D19" s="33" t="s">
        <v>98</v>
      </c>
      <c r="E19" s="28" t="s">
        <v>99</v>
      </c>
      <c r="F19" s="28">
        <f>COUNTIF('Roadmap 6-16'!$N$2:$N$152,B19)</f>
        <v>5</v>
      </c>
      <c r="G19" s="28">
        <f>COUNTIFS('Roadmap 6-16'!$N$2:$N$152,B19,'Roadmap 6-16'!$L$2:$L$152,"Done")</f>
        <v>0</v>
      </c>
      <c r="H19" s="28" t="s">
        <v>100</v>
      </c>
      <c r="I19" s="28" t="s">
        <v>101</v>
      </c>
    </row>
    <row r="20" spans="1:9" ht="25.5" x14ac:dyDescent="0.25">
      <c r="A20" s="28">
        <v>19</v>
      </c>
      <c r="B20" s="33" t="s">
        <v>102</v>
      </c>
      <c r="C20" s="37" t="s">
        <v>103</v>
      </c>
      <c r="D20" s="33" t="s">
        <v>104</v>
      </c>
      <c r="E20" s="28" t="s">
        <v>105</v>
      </c>
      <c r="F20" s="28">
        <f>COUNTIF('Roadmap 6-16'!$N$2:$N$152,B20)</f>
        <v>8</v>
      </c>
      <c r="G20" s="28">
        <f>COUNTIFS('Roadmap 6-16'!$N$2:$N$152,B20,'Roadmap 6-16'!$L$2:$L$152,"Done")</f>
        <v>0</v>
      </c>
      <c r="H20" s="28" t="s">
        <v>106</v>
      </c>
      <c r="I20" s="28" t="s">
        <v>107</v>
      </c>
    </row>
    <row r="21" spans="1:9" ht="38.25" x14ac:dyDescent="0.25">
      <c r="A21" s="28">
        <v>20</v>
      </c>
      <c r="B21" s="33" t="s">
        <v>108</v>
      </c>
      <c r="C21" s="38" t="s">
        <v>109</v>
      </c>
      <c r="D21" s="33" t="s">
        <v>110</v>
      </c>
      <c r="E21" s="28" t="s">
        <v>111</v>
      </c>
      <c r="F21" s="28">
        <f>COUNTIF('Roadmap 6-16'!$N$2:$N$152,B21)</f>
        <v>6</v>
      </c>
      <c r="G21" s="28">
        <f>COUNTIFS('Roadmap 6-16'!$N$2:$N$152,B21,'Roadmap 6-16'!$L$2:$L$152,"Done")</f>
        <v>0</v>
      </c>
      <c r="H21" s="28" t="s">
        <v>112</v>
      </c>
      <c r="I21" s="28" t="s">
        <v>113</v>
      </c>
    </row>
    <row r="23" spans="1:9" ht="27.95" customHeight="1" x14ac:dyDescent="0.25">
      <c r="A23" s="39" t="s">
        <v>114</v>
      </c>
      <c r="B23" s="40"/>
      <c r="C23" s="40"/>
      <c r="D23" s="40"/>
      <c r="E23" s="40"/>
      <c r="F23" s="40"/>
      <c r="G23" s="40"/>
      <c r="H23" s="40"/>
      <c r="I23" s="40"/>
    </row>
    <row r="24" spans="1:9" ht="27.95" customHeight="1" x14ac:dyDescent="0.25">
      <c r="A24" s="39" t="s">
        <v>115</v>
      </c>
      <c r="B24" s="40"/>
      <c r="C24" s="40"/>
      <c r="D24" s="40"/>
      <c r="E24" s="40"/>
      <c r="F24" s="40"/>
      <c r="G24" s="40"/>
      <c r="H24" s="40"/>
      <c r="I24" s="40"/>
    </row>
    <row r="25" spans="1:9" ht="27.95" customHeight="1" x14ac:dyDescent="0.25">
      <c r="A25" s="39" t="s">
        <v>116</v>
      </c>
      <c r="B25" s="40"/>
      <c r="C25" s="40"/>
      <c r="D25" s="40"/>
      <c r="E25" s="40"/>
      <c r="F25" s="40"/>
      <c r="G25" s="40"/>
      <c r="H25" s="40"/>
      <c r="I25" s="40"/>
    </row>
    <row r="26" spans="1:9" ht="27.95" customHeight="1" x14ac:dyDescent="0.25">
      <c r="A26" s="39" t="s">
        <v>117</v>
      </c>
      <c r="B26" s="40"/>
      <c r="C26" s="40"/>
      <c r="D26" s="40"/>
      <c r="E26" s="40"/>
      <c r="F26" s="40"/>
      <c r="G26" s="40"/>
      <c r="H26" s="40"/>
      <c r="I26" s="40"/>
    </row>
    <row r="27" spans="1:9" ht="27.95" customHeight="1" x14ac:dyDescent="0.25">
      <c r="A27" s="39" t="s">
        <v>118</v>
      </c>
      <c r="B27" s="40"/>
      <c r="C27" s="40"/>
      <c r="D27" s="40"/>
      <c r="E27" s="40"/>
      <c r="F27" s="40"/>
      <c r="G27" s="40"/>
      <c r="H27" s="40"/>
      <c r="I27" s="40"/>
    </row>
  </sheetData>
  <mergeCells count="5">
    <mergeCell ref="A25:I25"/>
    <mergeCell ref="A23:I23"/>
    <mergeCell ref="A27:I27"/>
    <mergeCell ref="A26:I26"/>
    <mergeCell ref="A24:I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152"/>
  <sheetViews>
    <sheetView tabSelected="1" workbookViewId="0">
      <pane xSplit="3" ySplit="1" topLeftCell="D38" activePane="bottomRight" state="frozen"/>
      <selection pane="topRight"/>
      <selection pane="bottomLeft"/>
      <selection pane="bottomRight" activeCell="D42" sqref="D42"/>
    </sheetView>
  </sheetViews>
  <sheetFormatPr defaultRowHeight="15" x14ac:dyDescent="0.25"/>
  <cols>
    <col min="1" max="1" width="7" customWidth="1"/>
    <col min="2" max="2" width="24" customWidth="1"/>
    <col min="3" max="3" width="34" customWidth="1"/>
    <col min="4" max="4" width="70" customWidth="1"/>
    <col min="5" max="5" width="46" customWidth="1"/>
    <col min="6" max="6" width="40" customWidth="1"/>
    <col min="7" max="7" width="10" customWidth="1"/>
    <col min="8" max="8" width="14" customWidth="1"/>
    <col min="9" max="9" width="13" customWidth="1"/>
    <col min="10" max="10" width="14" customWidth="1"/>
    <col min="11" max="11" width="8" customWidth="1"/>
    <col min="12" max="12" width="15" customWidth="1"/>
    <col min="13" max="13" width="30" customWidth="1"/>
    <col min="14" max="14" width="11" customWidth="1"/>
  </cols>
  <sheetData>
    <row r="1" spans="1:14" ht="26.1" customHeight="1" x14ac:dyDescent="0.25">
      <c r="A1" s="17" t="s">
        <v>138</v>
      </c>
      <c r="B1" s="17" t="s">
        <v>139</v>
      </c>
      <c r="C1" s="17" t="s">
        <v>140</v>
      </c>
      <c r="D1" s="17" t="s">
        <v>141</v>
      </c>
      <c r="E1" s="17" t="s">
        <v>142</v>
      </c>
      <c r="F1" s="17" t="s">
        <v>143</v>
      </c>
      <c r="G1" s="17" t="s">
        <v>144</v>
      </c>
      <c r="H1" s="17" t="s">
        <v>145</v>
      </c>
      <c r="I1" s="17" t="s">
        <v>146</v>
      </c>
      <c r="J1" s="17" t="s">
        <v>147</v>
      </c>
      <c r="K1" s="17" t="s">
        <v>148</v>
      </c>
      <c r="L1" s="17" t="s">
        <v>121</v>
      </c>
      <c r="M1" s="17" t="s">
        <v>149</v>
      </c>
      <c r="N1" s="17" t="s">
        <v>150</v>
      </c>
    </row>
    <row r="2" spans="1:14" ht="25.5" customHeight="1" x14ac:dyDescent="0.25">
      <c r="A2" s="18" t="s">
        <v>151</v>
      </c>
      <c r="B2" s="18" t="s">
        <v>152</v>
      </c>
      <c r="C2" s="18" t="s">
        <v>153</v>
      </c>
      <c r="D2" s="18" t="s">
        <v>154</v>
      </c>
      <c r="E2" s="18" t="s">
        <v>155</v>
      </c>
      <c r="F2" s="18" t="s">
        <v>156</v>
      </c>
      <c r="G2" s="18" t="s">
        <v>157</v>
      </c>
      <c r="H2" s="18" t="s">
        <v>10</v>
      </c>
      <c r="I2" s="18" t="s">
        <v>158</v>
      </c>
      <c r="J2" s="18"/>
      <c r="K2" s="18" t="s">
        <v>159</v>
      </c>
      <c r="L2" s="19" t="s">
        <v>6</v>
      </c>
      <c r="M2" s="19"/>
      <c r="N2" s="18" t="s">
        <v>9</v>
      </c>
    </row>
    <row r="3" spans="1:14" ht="25.5" customHeight="1" x14ac:dyDescent="0.25">
      <c r="A3" s="18" t="s">
        <v>160</v>
      </c>
      <c r="B3" s="18" t="s">
        <v>152</v>
      </c>
      <c r="C3" s="18" t="s">
        <v>161</v>
      </c>
      <c r="D3" s="18" t="s">
        <v>162</v>
      </c>
      <c r="E3" s="18" t="s">
        <v>163</v>
      </c>
      <c r="F3" s="18" t="s">
        <v>164</v>
      </c>
      <c r="G3" s="18" t="s">
        <v>157</v>
      </c>
      <c r="H3" s="18" t="s">
        <v>10</v>
      </c>
      <c r="I3" s="18" t="s">
        <v>165</v>
      </c>
      <c r="J3" s="18" t="s">
        <v>151</v>
      </c>
      <c r="K3" s="18" t="s">
        <v>166</v>
      </c>
      <c r="L3" s="19" t="s">
        <v>6</v>
      </c>
      <c r="M3" s="19"/>
      <c r="N3" s="18" t="s">
        <v>9</v>
      </c>
    </row>
    <row r="4" spans="1:14" ht="25.5" customHeight="1" x14ac:dyDescent="0.25">
      <c r="A4" s="18" t="s">
        <v>167</v>
      </c>
      <c r="B4" s="18" t="s">
        <v>152</v>
      </c>
      <c r="C4" s="18" t="s">
        <v>168</v>
      </c>
      <c r="D4" s="18" t="s">
        <v>169</v>
      </c>
      <c r="E4" s="18" t="s">
        <v>170</v>
      </c>
      <c r="F4" s="18" t="s">
        <v>171</v>
      </c>
      <c r="G4" s="18" t="s">
        <v>157</v>
      </c>
      <c r="H4" s="18" t="s">
        <v>10</v>
      </c>
      <c r="I4" s="18" t="s">
        <v>165</v>
      </c>
      <c r="J4" s="18" t="s">
        <v>151</v>
      </c>
      <c r="K4" s="18" t="s">
        <v>166</v>
      </c>
      <c r="L4" s="19" t="s">
        <v>6</v>
      </c>
      <c r="M4" s="19"/>
      <c r="N4" s="18" t="s">
        <v>9</v>
      </c>
    </row>
    <row r="5" spans="1:14" ht="25.5" customHeight="1" x14ac:dyDescent="0.25">
      <c r="A5" s="18" t="s">
        <v>172</v>
      </c>
      <c r="B5" s="18" t="s">
        <v>152</v>
      </c>
      <c r="C5" s="18" t="s">
        <v>173</v>
      </c>
      <c r="D5" s="18" t="s">
        <v>174</v>
      </c>
      <c r="E5" s="18" t="s">
        <v>175</v>
      </c>
      <c r="F5" s="18" t="s">
        <v>176</v>
      </c>
      <c r="G5" s="18" t="s">
        <v>157</v>
      </c>
      <c r="H5" s="18" t="s">
        <v>10</v>
      </c>
      <c r="I5" s="18" t="s">
        <v>158</v>
      </c>
      <c r="J5" s="18" t="s">
        <v>167</v>
      </c>
      <c r="K5" s="18" t="s">
        <v>159</v>
      </c>
      <c r="L5" s="19" t="s">
        <v>6</v>
      </c>
      <c r="M5" s="19"/>
      <c r="N5" s="18" t="s">
        <v>9</v>
      </c>
    </row>
    <row r="6" spans="1:14" ht="25.5" customHeight="1" x14ac:dyDescent="0.25">
      <c r="A6" s="18" t="s">
        <v>177</v>
      </c>
      <c r="B6" s="18" t="s">
        <v>152</v>
      </c>
      <c r="C6" s="18" t="s">
        <v>178</v>
      </c>
      <c r="D6" s="18" t="s">
        <v>179</v>
      </c>
      <c r="E6" s="18" t="s">
        <v>180</v>
      </c>
      <c r="F6" s="18" t="s">
        <v>181</v>
      </c>
      <c r="G6" s="18" t="s">
        <v>157</v>
      </c>
      <c r="H6" s="18" t="s">
        <v>10</v>
      </c>
      <c r="I6" s="18" t="s">
        <v>165</v>
      </c>
      <c r="J6" s="18" t="s">
        <v>172</v>
      </c>
      <c r="K6" s="18" t="s">
        <v>182</v>
      </c>
      <c r="L6" s="19" t="s">
        <v>6</v>
      </c>
      <c r="M6" s="19"/>
      <c r="N6" s="18" t="s">
        <v>9</v>
      </c>
    </row>
    <row r="7" spans="1:14" x14ac:dyDescent="0.25">
      <c r="A7" s="18" t="s">
        <v>183</v>
      </c>
      <c r="B7" s="18" t="s">
        <v>152</v>
      </c>
      <c r="C7" s="18" t="s">
        <v>184</v>
      </c>
      <c r="D7" s="18" t="s">
        <v>185</v>
      </c>
      <c r="E7" s="18" t="s">
        <v>186</v>
      </c>
      <c r="F7" s="18" t="s">
        <v>187</v>
      </c>
      <c r="G7" s="18" t="s">
        <v>157</v>
      </c>
      <c r="H7" s="18" t="s">
        <v>10</v>
      </c>
      <c r="I7" s="18" t="s">
        <v>188</v>
      </c>
      <c r="J7" s="18" t="s">
        <v>177</v>
      </c>
      <c r="K7" s="18" t="s">
        <v>166</v>
      </c>
      <c r="L7" s="19" t="s">
        <v>6</v>
      </c>
      <c r="M7" s="19"/>
      <c r="N7" s="18" t="s">
        <v>9</v>
      </c>
    </row>
    <row r="8" spans="1:14" x14ac:dyDescent="0.25">
      <c r="A8" s="18" t="s">
        <v>189</v>
      </c>
      <c r="B8" s="18" t="s">
        <v>152</v>
      </c>
      <c r="C8" s="18" t="s">
        <v>190</v>
      </c>
      <c r="D8" s="18" t="s">
        <v>191</v>
      </c>
      <c r="E8" s="18" t="s">
        <v>192</v>
      </c>
      <c r="F8" s="18" t="s">
        <v>193</v>
      </c>
      <c r="G8" s="18" t="s">
        <v>157</v>
      </c>
      <c r="H8" s="18" t="s">
        <v>10</v>
      </c>
      <c r="I8" s="18" t="s">
        <v>165</v>
      </c>
      <c r="J8" s="18" t="s">
        <v>177</v>
      </c>
      <c r="K8" s="18" t="s">
        <v>159</v>
      </c>
      <c r="L8" s="19" t="s">
        <v>6</v>
      </c>
      <c r="M8" s="19"/>
      <c r="N8" s="18" t="s">
        <v>9</v>
      </c>
    </row>
    <row r="9" spans="1:14" ht="25.5" customHeight="1" x14ac:dyDescent="0.25">
      <c r="A9" s="18" t="s">
        <v>194</v>
      </c>
      <c r="B9" s="18" t="s">
        <v>152</v>
      </c>
      <c r="C9" s="18" t="s">
        <v>195</v>
      </c>
      <c r="D9" s="18" t="s">
        <v>196</v>
      </c>
      <c r="E9" s="18" t="s">
        <v>197</v>
      </c>
      <c r="F9" s="18" t="s">
        <v>198</v>
      </c>
      <c r="G9" s="18" t="s">
        <v>157</v>
      </c>
      <c r="H9" s="18" t="s">
        <v>10</v>
      </c>
      <c r="I9" s="18" t="s">
        <v>199</v>
      </c>
      <c r="J9" s="18" t="s">
        <v>189</v>
      </c>
      <c r="K9" s="18" t="s">
        <v>166</v>
      </c>
      <c r="L9" s="19" t="s">
        <v>6</v>
      </c>
      <c r="M9" s="19"/>
      <c r="N9" s="18" t="s">
        <v>9</v>
      </c>
    </row>
    <row r="10" spans="1:14" ht="25.5" customHeight="1" x14ac:dyDescent="0.25">
      <c r="A10" s="18" t="s">
        <v>200</v>
      </c>
      <c r="B10" s="18" t="s">
        <v>152</v>
      </c>
      <c r="C10" s="18" t="s">
        <v>201</v>
      </c>
      <c r="D10" s="18" t="s">
        <v>202</v>
      </c>
      <c r="E10" s="18" t="s">
        <v>203</v>
      </c>
      <c r="F10" s="18" t="s">
        <v>204</v>
      </c>
      <c r="G10" s="18" t="s">
        <v>157</v>
      </c>
      <c r="H10" s="18" t="s">
        <v>10</v>
      </c>
      <c r="I10" s="18" t="s">
        <v>199</v>
      </c>
      <c r="J10" s="18" t="s">
        <v>194</v>
      </c>
      <c r="K10" s="18" t="s">
        <v>182</v>
      </c>
      <c r="L10" s="19" t="s">
        <v>6</v>
      </c>
      <c r="M10" s="19"/>
      <c r="N10" s="18" t="s">
        <v>9</v>
      </c>
    </row>
    <row r="11" spans="1:14" ht="38.25" customHeight="1" x14ac:dyDescent="0.25">
      <c r="A11" s="18" t="s">
        <v>205</v>
      </c>
      <c r="B11" s="18" t="s">
        <v>152</v>
      </c>
      <c r="C11" s="18" t="s">
        <v>206</v>
      </c>
      <c r="D11" s="18" t="s">
        <v>207</v>
      </c>
      <c r="E11" s="18" t="s">
        <v>208</v>
      </c>
      <c r="F11" s="18" t="s">
        <v>209</v>
      </c>
      <c r="G11" s="18" t="s">
        <v>157</v>
      </c>
      <c r="H11" s="18" t="s">
        <v>10</v>
      </c>
      <c r="I11" s="18" t="s">
        <v>199</v>
      </c>
      <c r="J11" s="18" t="s">
        <v>200</v>
      </c>
      <c r="K11" s="18" t="s">
        <v>182</v>
      </c>
      <c r="L11" s="19" t="s">
        <v>6</v>
      </c>
      <c r="M11" s="19"/>
      <c r="N11" s="18" t="s">
        <v>9</v>
      </c>
    </row>
    <row r="12" spans="1:14" ht="38.25" customHeight="1" x14ac:dyDescent="0.25">
      <c r="A12" s="18" t="s">
        <v>210</v>
      </c>
      <c r="B12" s="18" t="s">
        <v>152</v>
      </c>
      <c r="C12" s="18" t="s">
        <v>211</v>
      </c>
      <c r="D12" s="18" t="s">
        <v>212</v>
      </c>
      <c r="E12" s="18" t="s">
        <v>213</v>
      </c>
      <c r="F12" s="18" t="s">
        <v>214</v>
      </c>
      <c r="G12" s="18" t="s">
        <v>157</v>
      </c>
      <c r="H12" s="18" t="s">
        <v>10</v>
      </c>
      <c r="I12" s="18" t="s">
        <v>188</v>
      </c>
      <c r="J12" s="18" t="s">
        <v>205</v>
      </c>
      <c r="K12" s="18" t="s">
        <v>166</v>
      </c>
      <c r="L12" s="19" t="s">
        <v>6</v>
      </c>
      <c r="M12" s="19"/>
      <c r="N12" s="18" t="s">
        <v>9</v>
      </c>
    </row>
    <row r="13" spans="1:14" ht="38.25" customHeight="1" x14ac:dyDescent="0.25">
      <c r="A13" s="18" t="s">
        <v>215</v>
      </c>
      <c r="B13" s="18" t="s">
        <v>152</v>
      </c>
      <c r="C13" s="18" t="s">
        <v>216</v>
      </c>
      <c r="D13" s="18" t="s">
        <v>217</v>
      </c>
      <c r="E13" s="18" t="s">
        <v>218</v>
      </c>
      <c r="F13" s="18" t="s">
        <v>219</v>
      </c>
      <c r="G13" s="18" t="s">
        <v>157</v>
      </c>
      <c r="H13" s="18" t="s">
        <v>10</v>
      </c>
      <c r="I13" s="18" t="s">
        <v>165</v>
      </c>
      <c r="J13" s="18" t="s">
        <v>205</v>
      </c>
      <c r="K13" s="18" t="s">
        <v>159</v>
      </c>
      <c r="L13" s="19" t="s">
        <v>6</v>
      </c>
      <c r="M13" s="19"/>
      <c r="N13" s="18" t="s">
        <v>9</v>
      </c>
    </row>
    <row r="14" spans="1:14" ht="38.25" customHeight="1" x14ac:dyDescent="0.25">
      <c r="A14" s="18" t="s">
        <v>220</v>
      </c>
      <c r="B14" s="18" t="s">
        <v>152</v>
      </c>
      <c r="C14" s="18" t="s">
        <v>221</v>
      </c>
      <c r="D14" s="18" t="s">
        <v>222</v>
      </c>
      <c r="E14" s="18" t="s">
        <v>223</v>
      </c>
      <c r="F14" s="18" t="s">
        <v>224</v>
      </c>
      <c r="G14" s="18" t="s">
        <v>157</v>
      </c>
      <c r="H14" s="18" t="s">
        <v>10</v>
      </c>
      <c r="I14" s="18" t="s">
        <v>199</v>
      </c>
      <c r="J14" s="18" t="s">
        <v>215</v>
      </c>
      <c r="K14" s="18" t="s">
        <v>182</v>
      </c>
      <c r="L14" s="19" t="s">
        <v>6</v>
      </c>
      <c r="M14" s="19"/>
      <c r="N14" s="18" t="s">
        <v>9</v>
      </c>
    </row>
    <row r="15" spans="1:14" ht="25.5" customHeight="1" x14ac:dyDescent="0.25">
      <c r="A15" s="18" t="s">
        <v>225</v>
      </c>
      <c r="B15" s="18" t="s">
        <v>152</v>
      </c>
      <c r="C15" s="18" t="s">
        <v>226</v>
      </c>
      <c r="D15" s="18" t="s">
        <v>227</v>
      </c>
      <c r="E15" s="18" t="s">
        <v>228</v>
      </c>
      <c r="F15" s="18" t="s">
        <v>229</v>
      </c>
      <c r="G15" s="18" t="s">
        <v>157</v>
      </c>
      <c r="H15" s="18" t="s">
        <v>10</v>
      </c>
      <c r="I15" s="18" t="s">
        <v>199</v>
      </c>
      <c r="J15" s="18" t="s">
        <v>220</v>
      </c>
      <c r="K15" s="18" t="s">
        <v>166</v>
      </c>
      <c r="L15" s="19" t="s">
        <v>6</v>
      </c>
      <c r="M15" s="19"/>
      <c r="N15" s="18" t="s">
        <v>9</v>
      </c>
    </row>
    <row r="16" spans="1:14" s="25" customFormat="1" x14ac:dyDescent="0.25">
      <c r="A16" s="24" t="s">
        <v>230</v>
      </c>
      <c r="B16" s="24" t="s">
        <v>152</v>
      </c>
      <c r="C16" s="24" t="s">
        <v>231</v>
      </c>
      <c r="D16" s="24" t="s">
        <v>232</v>
      </c>
      <c r="E16" s="24" t="s">
        <v>233</v>
      </c>
      <c r="F16" s="24" t="s">
        <v>234</v>
      </c>
      <c r="G16" s="24" t="s">
        <v>157</v>
      </c>
      <c r="H16" s="24" t="s">
        <v>10</v>
      </c>
      <c r="I16" s="24" t="s">
        <v>188</v>
      </c>
      <c r="J16" s="24" t="s">
        <v>225</v>
      </c>
      <c r="K16" s="24" t="s">
        <v>166</v>
      </c>
      <c r="L16" s="24" t="s">
        <v>6</v>
      </c>
      <c r="M16" s="24"/>
      <c r="N16" s="24" t="s">
        <v>9</v>
      </c>
    </row>
    <row r="17" spans="1:14" s="25" customFormat="1" hidden="1" x14ac:dyDescent="0.25">
      <c r="A17" s="24" t="s">
        <v>235</v>
      </c>
      <c r="B17" s="24" t="s">
        <v>152</v>
      </c>
      <c r="C17" s="24" t="s">
        <v>236</v>
      </c>
      <c r="D17" s="24" t="s">
        <v>237</v>
      </c>
      <c r="E17" s="24" t="s">
        <v>238</v>
      </c>
      <c r="F17" s="24" t="s">
        <v>239</v>
      </c>
      <c r="G17" s="24" t="s">
        <v>157</v>
      </c>
      <c r="H17" s="24" t="s">
        <v>77</v>
      </c>
      <c r="I17" s="24" t="s">
        <v>240</v>
      </c>
      <c r="J17" s="24" t="s">
        <v>230</v>
      </c>
      <c r="K17" s="24" t="s">
        <v>159</v>
      </c>
      <c r="L17" s="24" t="s">
        <v>6</v>
      </c>
      <c r="M17" s="24"/>
      <c r="N17" s="24" t="s">
        <v>76</v>
      </c>
    </row>
    <row r="18" spans="1:14" s="25" customFormat="1" ht="25.5" customHeight="1" x14ac:dyDescent="0.25">
      <c r="A18" s="24" t="s">
        <v>241</v>
      </c>
      <c r="B18" s="24" t="s">
        <v>152</v>
      </c>
      <c r="C18" s="24" t="s">
        <v>242</v>
      </c>
      <c r="D18" s="24" t="s">
        <v>243</v>
      </c>
      <c r="E18" s="24" t="s">
        <v>244</v>
      </c>
      <c r="F18" s="24" t="s">
        <v>245</v>
      </c>
      <c r="G18" s="24" t="s">
        <v>157</v>
      </c>
      <c r="H18" s="24" t="s">
        <v>10</v>
      </c>
      <c r="I18" s="24" t="s">
        <v>165</v>
      </c>
      <c r="J18" s="24" t="s">
        <v>230</v>
      </c>
      <c r="K18" s="24" t="s">
        <v>159</v>
      </c>
      <c r="L18" s="24" t="s">
        <v>6</v>
      </c>
      <c r="M18" s="24"/>
      <c r="N18" s="24" t="s">
        <v>9</v>
      </c>
    </row>
    <row r="19" spans="1:14" s="25" customFormat="1" ht="25.5" customHeight="1" x14ac:dyDescent="0.25">
      <c r="A19" s="24" t="s">
        <v>246</v>
      </c>
      <c r="B19" s="24" t="s">
        <v>152</v>
      </c>
      <c r="C19" s="24" t="s">
        <v>247</v>
      </c>
      <c r="D19" s="24" t="s">
        <v>248</v>
      </c>
      <c r="E19" s="24" t="s">
        <v>249</v>
      </c>
      <c r="F19" s="24" t="s">
        <v>250</v>
      </c>
      <c r="G19" s="24" t="s">
        <v>157</v>
      </c>
      <c r="H19" s="24" t="s">
        <v>10</v>
      </c>
      <c r="I19" s="24" t="s">
        <v>199</v>
      </c>
      <c r="J19" s="24" t="s">
        <v>241</v>
      </c>
      <c r="K19" s="24" t="s">
        <v>159</v>
      </c>
      <c r="L19" s="24" t="s">
        <v>6</v>
      </c>
      <c r="M19" s="24"/>
      <c r="N19" s="24" t="s">
        <v>9</v>
      </c>
    </row>
    <row r="20" spans="1:14" s="25" customFormat="1" ht="25.5" customHeight="1" x14ac:dyDescent="0.25">
      <c r="A20" s="24" t="s">
        <v>251</v>
      </c>
      <c r="B20" s="24" t="s">
        <v>152</v>
      </c>
      <c r="C20" s="24" t="s">
        <v>252</v>
      </c>
      <c r="D20" s="24" t="s">
        <v>253</v>
      </c>
      <c r="E20" s="24" t="s">
        <v>254</v>
      </c>
      <c r="F20" s="24" t="s">
        <v>255</v>
      </c>
      <c r="G20" s="24" t="s">
        <v>157</v>
      </c>
      <c r="H20" s="24" t="s">
        <v>10</v>
      </c>
      <c r="I20" s="24" t="s">
        <v>199</v>
      </c>
      <c r="J20" s="24" t="s">
        <v>246</v>
      </c>
      <c r="K20" s="24" t="s">
        <v>166</v>
      </c>
      <c r="L20" s="24" t="s">
        <v>6</v>
      </c>
      <c r="M20" s="24"/>
      <c r="N20" s="24" t="s">
        <v>9</v>
      </c>
    </row>
    <row r="21" spans="1:14" s="25" customFormat="1" ht="25.5" hidden="1" customHeight="1" x14ac:dyDescent="0.25">
      <c r="A21" s="24" t="s">
        <v>256</v>
      </c>
      <c r="B21" s="24" t="s">
        <v>152</v>
      </c>
      <c r="C21" s="24" t="s">
        <v>257</v>
      </c>
      <c r="D21" s="24" t="s">
        <v>258</v>
      </c>
      <c r="E21" s="24" t="s">
        <v>259</v>
      </c>
      <c r="F21" s="24" t="s">
        <v>260</v>
      </c>
      <c r="G21" s="24" t="s">
        <v>157</v>
      </c>
      <c r="H21" s="24" t="s">
        <v>41</v>
      </c>
      <c r="I21" s="24" t="s">
        <v>199</v>
      </c>
      <c r="J21" s="24" t="s">
        <v>241</v>
      </c>
      <c r="K21" s="24" t="s">
        <v>159</v>
      </c>
      <c r="L21" s="24" t="s">
        <v>126</v>
      </c>
      <c r="M21" s="24"/>
      <c r="N21" s="24" t="s">
        <v>40</v>
      </c>
    </row>
    <row r="22" spans="1:14" s="25" customFormat="1" ht="25.5" customHeight="1" x14ac:dyDescent="0.25">
      <c r="A22" s="24" t="s">
        <v>261</v>
      </c>
      <c r="B22" s="24" t="s">
        <v>152</v>
      </c>
      <c r="C22" s="24" t="s">
        <v>262</v>
      </c>
      <c r="D22" s="24" t="s">
        <v>263</v>
      </c>
      <c r="E22" s="24" t="s">
        <v>264</v>
      </c>
      <c r="F22" s="24" t="s">
        <v>265</v>
      </c>
      <c r="G22" s="24" t="s">
        <v>157</v>
      </c>
      <c r="H22" s="24" t="s">
        <v>10</v>
      </c>
      <c r="I22" s="24" t="s">
        <v>199</v>
      </c>
      <c r="J22" s="24" t="s">
        <v>251</v>
      </c>
      <c r="K22" s="24" t="s">
        <v>166</v>
      </c>
      <c r="L22" s="24" t="s">
        <v>266</v>
      </c>
      <c r="M22" s="24" t="s">
        <v>267</v>
      </c>
      <c r="N22" s="24" t="s">
        <v>9</v>
      </c>
    </row>
    <row r="23" spans="1:14" s="25" customFormat="1" ht="25.5" hidden="1" customHeight="1" x14ac:dyDescent="0.25">
      <c r="A23" s="24" t="s">
        <v>268</v>
      </c>
      <c r="B23" s="24" t="s">
        <v>152</v>
      </c>
      <c r="C23" s="24" t="s">
        <v>269</v>
      </c>
      <c r="D23" s="24" t="s">
        <v>270</v>
      </c>
      <c r="E23" s="24" t="s">
        <v>271</v>
      </c>
      <c r="F23" s="24" t="s">
        <v>272</v>
      </c>
      <c r="G23" s="24" t="s">
        <v>157</v>
      </c>
      <c r="H23" s="24" t="s">
        <v>41</v>
      </c>
      <c r="I23" s="24" t="s">
        <v>188</v>
      </c>
      <c r="J23" s="24" t="s">
        <v>261</v>
      </c>
      <c r="K23" s="24" t="s">
        <v>166</v>
      </c>
      <c r="L23" s="24" t="s">
        <v>126</v>
      </c>
      <c r="M23" s="24"/>
      <c r="N23" s="24" t="s">
        <v>40</v>
      </c>
    </row>
    <row r="24" spans="1:14" s="25" customFormat="1" ht="25.5" hidden="1" customHeight="1" x14ac:dyDescent="0.25">
      <c r="A24" s="24" t="s">
        <v>273</v>
      </c>
      <c r="B24" s="24" t="s">
        <v>152</v>
      </c>
      <c r="C24" s="24" t="s">
        <v>274</v>
      </c>
      <c r="D24" s="24" t="s">
        <v>275</v>
      </c>
      <c r="E24" s="24" t="s">
        <v>276</v>
      </c>
      <c r="F24" s="24" t="s">
        <v>277</v>
      </c>
      <c r="G24" s="24" t="s">
        <v>157</v>
      </c>
      <c r="H24" s="24" t="s">
        <v>41</v>
      </c>
      <c r="I24" s="24" t="s">
        <v>165</v>
      </c>
      <c r="J24" s="24" t="s">
        <v>241</v>
      </c>
      <c r="K24" s="24" t="s">
        <v>166</v>
      </c>
      <c r="L24" s="24" t="s">
        <v>126</v>
      </c>
      <c r="M24" s="24"/>
      <c r="N24" s="24" t="s">
        <v>40</v>
      </c>
    </row>
    <row r="25" spans="1:14" ht="25.5" hidden="1" customHeight="1" x14ac:dyDescent="0.25">
      <c r="A25" s="18" t="s">
        <v>278</v>
      </c>
      <c r="B25" s="18" t="s">
        <v>152</v>
      </c>
      <c r="C25" s="18" t="s">
        <v>279</v>
      </c>
      <c r="D25" s="18" t="s">
        <v>280</v>
      </c>
      <c r="E25" s="18" t="s">
        <v>281</v>
      </c>
      <c r="F25" s="18" t="s">
        <v>282</v>
      </c>
      <c r="G25" s="18" t="s">
        <v>157</v>
      </c>
      <c r="H25" s="18" t="s">
        <v>41</v>
      </c>
      <c r="I25" s="18" t="s">
        <v>199</v>
      </c>
      <c r="J25" s="18" t="s">
        <v>273</v>
      </c>
      <c r="K25" s="18" t="s">
        <v>166</v>
      </c>
      <c r="L25" s="19" t="s">
        <v>126</v>
      </c>
      <c r="M25" s="19"/>
      <c r="N25" s="18" t="s">
        <v>40</v>
      </c>
    </row>
    <row r="26" spans="1:14" s="25" customFormat="1" ht="25.5" customHeight="1" x14ac:dyDescent="0.25">
      <c r="A26" s="24" t="s">
        <v>283</v>
      </c>
      <c r="B26" s="24" t="s">
        <v>152</v>
      </c>
      <c r="C26" s="24" t="s">
        <v>284</v>
      </c>
      <c r="D26" s="24" t="s">
        <v>285</v>
      </c>
      <c r="E26" s="24" t="s">
        <v>286</v>
      </c>
      <c r="F26" s="24" t="s">
        <v>287</v>
      </c>
      <c r="G26" s="24" t="s">
        <v>157</v>
      </c>
      <c r="H26" s="24" t="s">
        <v>10</v>
      </c>
      <c r="I26" s="24" t="s">
        <v>199</v>
      </c>
      <c r="J26" s="24" t="s">
        <v>261</v>
      </c>
      <c r="K26" s="24" t="s">
        <v>159</v>
      </c>
      <c r="L26" s="24" t="s">
        <v>126</v>
      </c>
      <c r="M26" s="24"/>
      <c r="N26" s="24" t="s">
        <v>9</v>
      </c>
    </row>
    <row r="27" spans="1:14" s="25" customFormat="1" ht="25.5" customHeight="1" x14ac:dyDescent="0.25">
      <c r="A27" s="24" t="s">
        <v>288</v>
      </c>
      <c r="B27" s="24" t="s">
        <v>152</v>
      </c>
      <c r="C27" s="24" t="s">
        <v>289</v>
      </c>
      <c r="D27" s="24" t="s">
        <v>290</v>
      </c>
      <c r="E27" s="24" t="s">
        <v>291</v>
      </c>
      <c r="F27" s="24" t="s">
        <v>292</v>
      </c>
      <c r="G27" s="24" t="s">
        <v>157</v>
      </c>
      <c r="H27" s="24" t="s">
        <v>10</v>
      </c>
      <c r="I27" s="24" t="s">
        <v>199</v>
      </c>
      <c r="J27" s="24" t="s">
        <v>283</v>
      </c>
      <c r="K27" s="24" t="s">
        <v>166</v>
      </c>
      <c r="L27" s="24" t="s">
        <v>266</v>
      </c>
      <c r="M27" s="24" t="s">
        <v>293</v>
      </c>
      <c r="N27" s="24" t="s">
        <v>9</v>
      </c>
    </row>
    <row r="28" spans="1:14" s="25" customFormat="1" hidden="1" x14ac:dyDescent="0.25">
      <c r="A28" s="24" t="s">
        <v>294</v>
      </c>
      <c r="B28" s="24" t="s">
        <v>152</v>
      </c>
      <c r="C28" s="24" t="s">
        <v>295</v>
      </c>
      <c r="D28" s="24" t="s">
        <v>296</v>
      </c>
      <c r="E28" s="24" t="s">
        <v>297</v>
      </c>
      <c r="F28" s="24" t="s">
        <v>298</v>
      </c>
      <c r="G28" s="24" t="s">
        <v>157</v>
      </c>
      <c r="H28" s="24" t="s">
        <v>41</v>
      </c>
      <c r="I28" s="24" t="s">
        <v>188</v>
      </c>
      <c r="J28" s="24" t="s">
        <v>288</v>
      </c>
      <c r="K28" s="24" t="s">
        <v>166</v>
      </c>
      <c r="L28" s="24" t="s">
        <v>126</v>
      </c>
      <c r="M28" s="24"/>
      <c r="N28" s="24" t="s">
        <v>40</v>
      </c>
    </row>
    <row r="29" spans="1:14" ht="25.5" hidden="1" customHeight="1" x14ac:dyDescent="0.25">
      <c r="A29" s="18" t="s">
        <v>299</v>
      </c>
      <c r="B29" s="18" t="s">
        <v>152</v>
      </c>
      <c r="C29" s="18" t="s">
        <v>300</v>
      </c>
      <c r="D29" s="18" t="s">
        <v>301</v>
      </c>
      <c r="E29" s="18" t="s">
        <v>302</v>
      </c>
      <c r="F29" s="18" t="s">
        <v>303</v>
      </c>
      <c r="G29" s="18" t="s">
        <v>157</v>
      </c>
      <c r="H29" s="18" t="s">
        <v>41</v>
      </c>
      <c r="I29" s="18" t="s">
        <v>240</v>
      </c>
      <c r="J29" s="18" t="s">
        <v>294</v>
      </c>
      <c r="K29" s="18" t="s">
        <v>159</v>
      </c>
      <c r="L29" s="19" t="s">
        <v>126</v>
      </c>
      <c r="M29" s="19"/>
      <c r="N29" s="18" t="s">
        <v>40</v>
      </c>
    </row>
    <row r="30" spans="1:14" ht="25.5" customHeight="1" x14ac:dyDescent="0.25">
      <c r="A30" s="18" t="s">
        <v>304</v>
      </c>
      <c r="B30" s="18" t="s">
        <v>152</v>
      </c>
      <c r="C30" s="18" t="s">
        <v>305</v>
      </c>
      <c r="D30" s="18" t="s">
        <v>306</v>
      </c>
      <c r="E30" s="18" t="s">
        <v>307</v>
      </c>
      <c r="F30" s="18" t="s">
        <v>308</v>
      </c>
      <c r="G30" s="18" t="s">
        <v>157</v>
      </c>
      <c r="H30" s="18" t="s">
        <v>10</v>
      </c>
      <c r="I30" s="18" t="s">
        <v>188</v>
      </c>
      <c r="J30" s="18" t="s">
        <v>309</v>
      </c>
      <c r="K30" s="18" t="s">
        <v>159</v>
      </c>
      <c r="L30" s="19" t="s">
        <v>126</v>
      </c>
      <c r="M30" s="19"/>
      <c r="N30" s="18" t="s">
        <v>25</v>
      </c>
    </row>
    <row r="31" spans="1:14" hidden="1" x14ac:dyDescent="0.25">
      <c r="A31" s="18" t="s">
        <v>310</v>
      </c>
      <c r="B31" s="18" t="s">
        <v>152</v>
      </c>
      <c r="C31" s="18" t="s">
        <v>311</v>
      </c>
      <c r="D31" s="18" t="s">
        <v>312</v>
      </c>
      <c r="E31" s="18" t="s">
        <v>313</v>
      </c>
      <c r="F31" s="18" t="s">
        <v>314</v>
      </c>
      <c r="G31" s="18" t="s">
        <v>157</v>
      </c>
      <c r="H31" s="18" t="s">
        <v>41</v>
      </c>
      <c r="I31" s="18" t="s">
        <v>199</v>
      </c>
      <c r="J31" s="18" t="s">
        <v>315</v>
      </c>
      <c r="K31" s="18" t="s">
        <v>159</v>
      </c>
      <c r="L31" s="19" t="s">
        <v>126</v>
      </c>
      <c r="M31" s="19"/>
      <c r="N31" s="18" t="s">
        <v>40</v>
      </c>
    </row>
    <row r="32" spans="1:14" ht="25.5" hidden="1" customHeight="1" x14ac:dyDescent="0.25">
      <c r="A32" s="18" t="s">
        <v>316</v>
      </c>
      <c r="B32" s="18" t="s">
        <v>152</v>
      </c>
      <c r="C32" s="18" t="s">
        <v>317</v>
      </c>
      <c r="D32" s="18" t="s">
        <v>318</v>
      </c>
      <c r="E32" s="18" t="s">
        <v>319</v>
      </c>
      <c r="F32" s="18" t="s">
        <v>320</v>
      </c>
      <c r="G32" s="18" t="s">
        <v>157</v>
      </c>
      <c r="H32" s="18" t="s">
        <v>77</v>
      </c>
      <c r="I32" s="18" t="s">
        <v>321</v>
      </c>
      <c r="J32" s="18" t="s">
        <v>322</v>
      </c>
      <c r="K32" s="18" t="s">
        <v>159</v>
      </c>
      <c r="L32" s="19" t="s">
        <v>126</v>
      </c>
      <c r="M32" s="19"/>
      <c r="N32" s="18" t="s">
        <v>76</v>
      </c>
    </row>
    <row r="33" spans="1:14" hidden="1" x14ac:dyDescent="0.25">
      <c r="A33" s="18" t="s">
        <v>323</v>
      </c>
      <c r="B33" s="18" t="s">
        <v>152</v>
      </c>
      <c r="C33" s="18" t="s">
        <v>324</v>
      </c>
      <c r="D33" s="18" t="s">
        <v>325</v>
      </c>
      <c r="E33" s="18" t="s">
        <v>326</v>
      </c>
      <c r="F33" s="18" t="s">
        <v>327</v>
      </c>
      <c r="G33" s="18" t="s">
        <v>328</v>
      </c>
      <c r="H33" s="18" t="s">
        <v>41</v>
      </c>
      <c r="I33" s="18" t="s">
        <v>199</v>
      </c>
      <c r="J33" s="18" t="s">
        <v>261</v>
      </c>
      <c r="K33" s="18" t="s">
        <v>166</v>
      </c>
      <c r="L33" s="19" t="s">
        <v>126</v>
      </c>
      <c r="M33" s="19"/>
      <c r="N33" s="18" t="s">
        <v>40</v>
      </c>
    </row>
    <row r="34" spans="1:14" hidden="1" x14ac:dyDescent="0.25">
      <c r="A34" s="18" t="s">
        <v>329</v>
      </c>
      <c r="B34" s="18" t="s">
        <v>152</v>
      </c>
      <c r="C34" s="18" t="s">
        <v>330</v>
      </c>
      <c r="D34" s="18" t="s">
        <v>331</v>
      </c>
      <c r="E34" s="18" t="s">
        <v>332</v>
      </c>
      <c r="F34" s="18" t="s">
        <v>333</v>
      </c>
      <c r="G34" s="18" t="s">
        <v>334</v>
      </c>
      <c r="H34" s="18" t="s">
        <v>109</v>
      </c>
      <c r="I34" s="18" t="s">
        <v>199</v>
      </c>
      <c r="J34" s="18" t="s">
        <v>323</v>
      </c>
      <c r="K34" s="18" t="s">
        <v>182</v>
      </c>
      <c r="L34" s="19" t="s">
        <v>126</v>
      </c>
      <c r="M34" s="19"/>
      <c r="N34" s="18" t="s">
        <v>108</v>
      </c>
    </row>
    <row r="35" spans="1:14" hidden="1" x14ac:dyDescent="0.25">
      <c r="A35" s="18" t="s">
        <v>335</v>
      </c>
      <c r="B35" s="18" t="s">
        <v>152</v>
      </c>
      <c r="C35" s="18" t="s">
        <v>336</v>
      </c>
      <c r="D35" s="18" t="s">
        <v>337</v>
      </c>
      <c r="E35" s="18" t="s">
        <v>338</v>
      </c>
      <c r="F35" s="18" t="s">
        <v>339</v>
      </c>
      <c r="G35" s="18" t="s">
        <v>328</v>
      </c>
      <c r="H35" s="18" t="s">
        <v>103</v>
      </c>
      <c r="I35" s="18" t="s">
        <v>321</v>
      </c>
      <c r="J35" s="18" t="s">
        <v>220</v>
      </c>
      <c r="K35" s="18" t="s">
        <v>159</v>
      </c>
      <c r="L35" s="19" t="s">
        <v>126</v>
      </c>
      <c r="M35" s="19"/>
      <c r="N35" s="18" t="s">
        <v>102</v>
      </c>
    </row>
    <row r="36" spans="1:14" hidden="1" x14ac:dyDescent="0.25">
      <c r="A36" s="18" t="s">
        <v>340</v>
      </c>
      <c r="B36" s="18" t="s">
        <v>152</v>
      </c>
      <c r="C36" s="18" t="s">
        <v>341</v>
      </c>
      <c r="D36" s="18" t="s">
        <v>342</v>
      </c>
      <c r="E36" s="18" t="s">
        <v>343</v>
      </c>
      <c r="F36" s="18" t="s">
        <v>344</v>
      </c>
      <c r="G36" s="18" t="s">
        <v>334</v>
      </c>
      <c r="H36" s="18" t="s">
        <v>77</v>
      </c>
      <c r="I36" s="18" t="s">
        <v>165</v>
      </c>
      <c r="J36" s="18" t="s">
        <v>345</v>
      </c>
      <c r="K36" s="18" t="s">
        <v>182</v>
      </c>
      <c r="L36" s="19" t="s">
        <v>126</v>
      </c>
      <c r="M36" s="19"/>
      <c r="N36" s="18" t="s">
        <v>76</v>
      </c>
    </row>
    <row r="37" spans="1:14" s="25" customFormat="1" ht="25.5" customHeight="1" x14ac:dyDescent="0.25">
      <c r="A37" s="24" t="s">
        <v>346</v>
      </c>
      <c r="B37" s="24" t="s">
        <v>347</v>
      </c>
      <c r="C37" s="24" t="s">
        <v>348</v>
      </c>
      <c r="D37" s="24" t="s">
        <v>349</v>
      </c>
      <c r="E37" s="24" t="s">
        <v>350</v>
      </c>
      <c r="F37" s="24" t="s">
        <v>351</v>
      </c>
      <c r="G37" s="24" t="s">
        <v>157</v>
      </c>
      <c r="H37" s="24" t="s">
        <v>10</v>
      </c>
      <c r="I37" s="24" t="s">
        <v>165</v>
      </c>
      <c r="J37" s="24" t="s">
        <v>261</v>
      </c>
      <c r="K37" s="24" t="s">
        <v>159</v>
      </c>
      <c r="L37" s="24" t="s">
        <v>126</v>
      </c>
      <c r="M37" s="24"/>
      <c r="N37" s="24" t="s">
        <v>15</v>
      </c>
    </row>
    <row r="38" spans="1:14" s="25" customFormat="1" ht="25.5" customHeight="1" x14ac:dyDescent="0.25">
      <c r="A38" s="24" t="s">
        <v>352</v>
      </c>
      <c r="B38" s="24" t="s">
        <v>347</v>
      </c>
      <c r="C38" s="24" t="s">
        <v>353</v>
      </c>
      <c r="D38" s="24" t="s">
        <v>354</v>
      </c>
      <c r="E38" s="24" t="s">
        <v>355</v>
      </c>
      <c r="F38" s="24" t="s">
        <v>356</v>
      </c>
      <c r="G38" s="24" t="s">
        <v>157</v>
      </c>
      <c r="H38" s="24" t="s">
        <v>10</v>
      </c>
      <c r="I38" s="24" t="s">
        <v>165</v>
      </c>
      <c r="J38" s="24" t="s">
        <v>261</v>
      </c>
      <c r="K38" s="24" t="s">
        <v>159</v>
      </c>
      <c r="L38" s="24" t="s">
        <v>126</v>
      </c>
      <c r="M38" s="24"/>
      <c r="N38" s="24" t="s">
        <v>15</v>
      </c>
    </row>
    <row r="39" spans="1:14" s="25" customFormat="1" ht="51" customHeight="1" x14ac:dyDescent="0.25">
      <c r="A39" s="24" t="s">
        <v>357</v>
      </c>
      <c r="B39" s="24" t="s">
        <v>347</v>
      </c>
      <c r="C39" s="24" t="s">
        <v>358</v>
      </c>
      <c r="D39" s="24" t="s">
        <v>359</v>
      </c>
      <c r="E39" s="24" t="s">
        <v>360</v>
      </c>
      <c r="F39" s="24" t="s">
        <v>361</v>
      </c>
      <c r="G39" s="24" t="s">
        <v>157</v>
      </c>
      <c r="H39" s="24" t="s">
        <v>10</v>
      </c>
      <c r="I39" s="24" t="s">
        <v>165</v>
      </c>
      <c r="J39" s="24" t="s">
        <v>352</v>
      </c>
      <c r="K39" s="24" t="s">
        <v>166</v>
      </c>
      <c r="L39" s="24" t="s">
        <v>126</v>
      </c>
      <c r="M39" s="24"/>
      <c r="N39" s="24" t="s">
        <v>15</v>
      </c>
    </row>
    <row r="40" spans="1:14" ht="63.75" customHeight="1" x14ac:dyDescent="0.25">
      <c r="A40" s="18" t="s">
        <v>362</v>
      </c>
      <c r="B40" s="18" t="s">
        <v>347</v>
      </c>
      <c r="C40" s="18" t="s">
        <v>363</v>
      </c>
      <c r="D40" s="18" t="s">
        <v>364</v>
      </c>
      <c r="E40" s="18" t="s">
        <v>365</v>
      </c>
      <c r="F40" s="18" t="s">
        <v>366</v>
      </c>
      <c r="G40" s="18" t="s">
        <v>157</v>
      </c>
      <c r="H40" s="18" t="s">
        <v>10</v>
      </c>
      <c r="I40" s="18" t="s">
        <v>165</v>
      </c>
      <c r="J40" s="18" t="s">
        <v>367</v>
      </c>
      <c r="K40" s="18" t="s">
        <v>166</v>
      </c>
      <c r="L40" s="19" t="s">
        <v>126</v>
      </c>
      <c r="M40" s="19"/>
      <c r="N40" s="18" t="s">
        <v>15</v>
      </c>
    </row>
    <row r="41" spans="1:14" ht="25.5" customHeight="1" x14ac:dyDescent="0.25">
      <c r="A41" s="18" t="s">
        <v>368</v>
      </c>
      <c r="B41" s="18" t="s">
        <v>347</v>
      </c>
      <c r="C41" s="18" t="s">
        <v>369</v>
      </c>
      <c r="D41" s="18" t="s">
        <v>370</v>
      </c>
      <c r="E41" s="18" t="s">
        <v>371</v>
      </c>
      <c r="F41" s="18" t="s">
        <v>372</v>
      </c>
      <c r="G41" s="18" t="s">
        <v>157</v>
      </c>
      <c r="H41" s="18" t="s">
        <v>10</v>
      </c>
      <c r="I41" s="18" t="s">
        <v>165</v>
      </c>
      <c r="J41" s="18" t="s">
        <v>362</v>
      </c>
      <c r="K41" s="18" t="s">
        <v>159</v>
      </c>
      <c r="L41" s="19" t="s">
        <v>126</v>
      </c>
      <c r="M41" s="19"/>
      <c r="N41" s="18" t="s">
        <v>15</v>
      </c>
    </row>
    <row r="42" spans="1:14" ht="51" customHeight="1" x14ac:dyDescent="0.25">
      <c r="A42" s="18" t="s">
        <v>373</v>
      </c>
      <c r="B42" s="18" t="s">
        <v>347</v>
      </c>
      <c r="C42" s="18" t="s">
        <v>374</v>
      </c>
      <c r="D42" s="18" t="s">
        <v>375</v>
      </c>
      <c r="E42" s="18" t="s">
        <v>376</v>
      </c>
      <c r="F42" s="18" t="s">
        <v>377</v>
      </c>
      <c r="G42" s="18" t="s">
        <v>157</v>
      </c>
      <c r="H42" s="18" t="s">
        <v>10</v>
      </c>
      <c r="I42" s="18" t="s">
        <v>165</v>
      </c>
      <c r="J42" s="18" t="s">
        <v>367</v>
      </c>
      <c r="K42" s="18" t="s">
        <v>166</v>
      </c>
      <c r="L42" s="19" t="s">
        <v>126</v>
      </c>
      <c r="M42" s="19"/>
      <c r="N42" s="18" t="s">
        <v>15</v>
      </c>
    </row>
    <row r="43" spans="1:14" ht="38.25" hidden="1" customHeight="1" x14ac:dyDescent="0.25">
      <c r="A43" s="18" t="s">
        <v>378</v>
      </c>
      <c r="B43" s="18" t="s">
        <v>347</v>
      </c>
      <c r="C43" s="18" t="s">
        <v>379</v>
      </c>
      <c r="D43" s="18" t="s">
        <v>380</v>
      </c>
      <c r="E43" s="18" t="s">
        <v>381</v>
      </c>
      <c r="F43" s="18" t="s">
        <v>382</v>
      </c>
      <c r="G43" s="18" t="s">
        <v>157</v>
      </c>
      <c r="H43" s="18" t="s">
        <v>77</v>
      </c>
      <c r="I43" s="18" t="s">
        <v>165</v>
      </c>
      <c r="J43" s="18" t="s">
        <v>357</v>
      </c>
      <c r="K43" s="18" t="s">
        <v>159</v>
      </c>
      <c r="L43" s="19" t="s">
        <v>126</v>
      </c>
      <c r="M43" s="19"/>
      <c r="N43" s="18" t="s">
        <v>76</v>
      </c>
    </row>
    <row r="44" spans="1:14" ht="38.25" hidden="1" customHeight="1" x14ac:dyDescent="0.25">
      <c r="A44" s="18" t="s">
        <v>383</v>
      </c>
      <c r="B44" s="18" t="s">
        <v>347</v>
      </c>
      <c r="C44" s="18" t="s">
        <v>384</v>
      </c>
      <c r="D44" s="18" t="s">
        <v>385</v>
      </c>
      <c r="E44" s="18" t="s">
        <v>386</v>
      </c>
      <c r="F44" s="18" t="s">
        <v>387</v>
      </c>
      <c r="G44" s="18" t="s">
        <v>157</v>
      </c>
      <c r="H44" s="18" t="s">
        <v>41</v>
      </c>
      <c r="I44" s="18" t="s">
        <v>165</v>
      </c>
      <c r="J44" s="18" t="s">
        <v>362</v>
      </c>
      <c r="K44" s="18" t="s">
        <v>159</v>
      </c>
      <c r="L44" s="19" t="s">
        <v>126</v>
      </c>
      <c r="M44" s="19"/>
      <c r="N44" s="18" t="s">
        <v>61</v>
      </c>
    </row>
    <row r="45" spans="1:14" ht="25.5" hidden="1" customHeight="1" x14ac:dyDescent="0.25">
      <c r="A45" s="18" t="s">
        <v>388</v>
      </c>
      <c r="B45" s="18" t="s">
        <v>347</v>
      </c>
      <c r="C45" s="18" t="s">
        <v>389</v>
      </c>
      <c r="D45" s="18" t="s">
        <v>390</v>
      </c>
      <c r="E45" s="18" t="s">
        <v>391</v>
      </c>
      <c r="F45" s="18" t="s">
        <v>392</v>
      </c>
      <c r="G45" s="18" t="s">
        <v>393</v>
      </c>
      <c r="H45" s="18" t="s">
        <v>77</v>
      </c>
      <c r="I45" s="18" t="s">
        <v>165</v>
      </c>
      <c r="J45" s="18" t="s">
        <v>346</v>
      </c>
      <c r="K45" s="18" t="s">
        <v>159</v>
      </c>
      <c r="L45" s="19" t="s">
        <v>126</v>
      </c>
      <c r="M45" s="19"/>
      <c r="N45" s="18" t="s">
        <v>76</v>
      </c>
    </row>
    <row r="46" spans="1:14" ht="25.5" hidden="1" customHeight="1" x14ac:dyDescent="0.25">
      <c r="A46" s="18" t="s">
        <v>394</v>
      </c>
      <c r="B46" s="18" t="s">
        <v>347</v>
      </c>
      <c r="C46" s="18" t="s">
        <v>395</v>
      </c>
      <c r="D46" s="18" t="s">
        <v>396</v>
      </c>
      <c r="E46" s="18" t="s">
        <v>397</v>
      </c>
      <c r="F46" s="18" t="s">
        <v>398</v>
      </c>
      <c r="G46" s="18" t="s">
        <v>328</v>
      </c>
      <c r="H46" s="18" t="s">
        <v>109</v>
      </c>
      <c r="I46" s="18" t="s">
        <v>165</v>
      </c>
      <c r="J46" s="18" t="s">
        <v>362</v>
      </c>
      <c r="K46" s="18" t="s">
        <v>159</v>
      </c>
      <c r="L46" s="19" t="s">
        <v>126</v>
      </c>
      <c r="M46" s="19"/>
      <c r="N46" s="18" t="s">
        <v>108</v>
      </c>
    </row>
    <row r="47" spans="1:14" ht="25.5" customHeight="1" x14ac:dyDescent="0.25">
      <c r="A47" s="18" t="s">
        <v>399</v>
      </c>
      <c r="B47" s="18" t="s">
        <v>347</v>
      </c>
      <c r="C47" s="18" t="s">
        <v>400</v>
      </c>
      <c r="D47" s="18" t="s">
        <v>401</v>
      </c>
      <c r="E47" s="18" t="s">
        <v>402</v>
      </c>
      <c r="F47" s="18" t="s">
        <v>403</v>
      </c>
      <c r="G47" s="18" t="s">
        <v>157</v>
      </c>
      <c r="H47" s="18" t="s">
        <v>10</v>
      </c>
      <c r="I47" s="18" t="s">
        <v>165</v>
      </c>
      <c r="J47" s="18" t="s">
        <v>373</v>
      </c>
      <c r="K47" s="18" t="s">
        <v>166</v>
      </c>
      <c r="L47" s="19" t="s">
        <v>126</v>
      </c>
      <c r="M47" s="19"/>
      <c r="N47" s="18" t="s">
        <v>15</v>
      </c>
    </row>
    <row r="48" spans="1:14" ht="25.5" customHeight="1" x14ac:dyDescent="0.25">
      <c r="A48" s="18" t="s">
        <v>404</v>
      </c>
      <c r="B48" s="18" t="s">
        <v>347</v>
      </c>
      <c r="C48" s="18" t="s">
        <v>405</v>
      </c>
      <c r="D48" s="18" t="s">
        <v>406</v>
      </c>
      <c r="E48" s="18" t="s">
        <v>407</v>
      </c>
      <c r="F48" s="18" t="s">
        <v>408</v>
      </c>
      <c r="G48" s="18" t="s">
        <v>157</v>
      </c>
      <c r="H48" s="18" t="s">
        <v>10</v>
      </c>
      <c r="I48" s="18" t="s">
        <v>165</v>
      </c>
      <c r="J48" s="18" t="s">
        <v>346</v>
      </c>
      <c r="K48" s="18" t="s">
        <v>159</v>
      </c>
      <c r="L48" s="19" t="s">
        <v>126</v>
      </c>
      <c r="M48" s="19"/>
      <c r="N48" s="18" t="s">
        <v>15</v>
      </c>
    </row>
    <row r="49" spans="1:14" ht="25.5" customHeight="1" x14ac:dyDescent="0.25">
      <c r="A49" s="18" t="s">
        <v>409</v>
      </c>
      <c r="B49" s="18" t="s">
        <v>347</v>
      </c>
      <c r="C49" s="18" t="s">
        <v>410</v>
      </c>
      <c r="D49" s="18" t="s">
        <v>411</v>
      </c>
      <c r="E49" s="18" t="s">
        <v>412</v>
      </c>
      <c r="F49" s="18" t="s">
        <v>413</v>
      </c>
      <c r="G49" s="18" t="s">
        <v>157</v>
      </c>
      <c r="H49" s="18" t="s">
        <v>10</v>
      </c>
      <c r="I49" s="18" t="s">
        <v>165</v>
      </c>
      <c r="J49" s="18" t="s">
        <v>346</v>
      </c>
      <c r="K49" s="18" t="s">
        <v>159</v>
      </c>
      <c r="L49" s="19" t="s">
        <v>126</v>
      </c>
      <c r="M49" s="19"/>
      <c r="N49" s="18" t="s">
        <v>15</v>
      </c>
    </row>
    <row r="50" spans="1:14" ht="25.5" hidden="1" customHeight="1" x14ac:dyDescent="0.25">
      <c r="A50" s="18" t="s">
        <v>414</v>
      </c>
      <c r="B50" s="18" t="s">
        <v>347</v>
      </c>
      <c r="C50" s="18" t="s">
        <v>415</v>
      </c>
      <c r="D50" s="18" t="s">
        <v>416</v>
      </c>
      <c r="E50" s="18" t="s">
        <v>417</v>
      </c>
      <c r="F50" s="18" t="s">
        <v>418</v>
      </c>
      <c r="G50" s="18" t="s">
        <v>157</v>
      </c>
      <c r="H50" s="18" t="s">
        <v>77</v>
      </c>
      <c r="I50" s="18" t="s">
        <v>165</v>
      </c>
      <c r="J50" s="18" t="s">
        <v>346</v>
      </c>
      <c r="K50" s="18" t="s">
        <v>159</v>
      </c>
      <c r="L50" s="19" t="s">
        <v>126</v>
      </c>
      <c r="M50" s="19"/>
      <c r="N50" s="18" t="s">
        <v>76</v>
      </c>
    </row>
    <row r="51" spans="1:14" ht="25.5" customHeight="1" x14ac:dyDescent="0.25">
      <c r="A51" s="18" t="s">
        <v>419</v>
      </c>
      <c r="B51" s="18" t="s">
        <v>347</v>
      </c>
      <c r="C51" s="18" t="s">
        <v>420</v>
      </c>
      <c r="D51" s="18" t="s">
        <v>421</v>
      </c>
      <c r="E51" s="18" t="s">
        <v>422</v>
      </c>
      <c r="F51" s="18" t="s">
        <v>423</v>
      </c>
      <c r="G51" s="18" t="s">
        <v>157</v>
      </c>
      <c r="H51" s="18" t="s">
        <v>10</v>
      </c>
      <c r="I51" s="18" t="s">
        <v>165</v>
      </c>
      <c r="J51" s="18" t="s">
        <v>424</v>
      </c>
      <c r="K51" s="18" t="s">
        <v>159</v>
      </c>
      <c r="L51" s="19" t="s">
        <v>126</v>
      </c>
      <c r="M51" s="19"/>
      <c r="N51" s="18" t="s">
        <v>15</v>
      </c>
    </row>
    <row r="52" spans="1:14" ht="25.5" hidden="1" customHeight="1" x14ac:dyDescent="0.25">
      <c r="A52" s="18" t="s">
        <v>425</v>
      </c>
      <c r="B52" s="18" t="s">
        <v>347</v>
      </c>
      <c r="C52" s="18" t="s">
        <v>426</v>
      </c>
      <c r="D52" s="18" t="s">
        <v>427</v>
      </c>
      <c r="E52" s="18" t="s">
        <v>428</v>
      </c>
      <c r="F52" s="18" t="s">
        <v>429</v>
      </c>
      <c r="G52" s="18" t="s">
        <v>157</v>
      </c>
      <c r="H52" s="18" t="s">
        <v>77</v>
      </c>
      <c r="I52" s="18" t="s">
        <v>165</v>
      </c>
      <c r="J52" s="18" t="s">
        <v>430</v>
      </c>
      <c r="K52" s="18" t="s">
        <v>159</v>
      </c>
      <c r="L52" s="19" t="s">
        <v>126</v>
      </c>
      <c r="M52" s="19" t="s">
        <v>431</v>
      </c>
      <c r="N52" s="18" t="s">
        <v>76</v>
      </c>
    </row>
    <row r="53" spans="1:14" ht="25.5" customHeight="1" x14ac:dyDescent="0.25">
      <c r="A53" s="18" t="s">
        <v>345</v>
      </c>
      <c r="B53" s="18" t="s">
        <v>347</v>
      </c>
      <c r="C53" s="18" t="s">
        <v>432</v>
      </c>
      <c r="D53" s="18" t="s">
        <v>433</v>
      </c>
      <c r="E53" s="18" t="s">
        <v>434</v>
      </c>
      <c r="F53" s="18" t="s">
        <v>435</v>
      </c>
      <c r="G53" s="18" t="s">
        <v>157</v>
      </c>
      <c r="H53" s="18" t="s">
        <v>10</v>
      </c>
      <c r="I53" s="18" t="s">
        <v>165</v>
      </c>
      <c r="J53" s="18" t="s">
        <v>436</v>
      </c>
      <c r="K53" s="18" t="s">
        <v>159</v>
      </c>
      <c r="L53" s="19" t="s">
        <v>126</v>
      </c>
      <c r="M53" s="19"/>
      <c r="N53" s="18" t="s">
        <v>15</v>
      </c>
    </row>
    <row r="54" spans="1:14" ht="25.5" hidden="1" customHeight="1" x14ac:dyDescent="0.25">
      <c r="A54" s="18" t="s">
        <v>437</v>
      </c>
      <c r="B54" s="18" t="s">
        <v>438</v>
      </c>
      <c r="C54" s="18" t="s">
        <v>439</v>
      </c>
      <c r="D54" s="18" t="s">
        <v>440</v>
      </c>
      <c r="E54" s="18" t="s">
        <v>441</v>
      </c>
      <c r="F54" s="18" t="s">
        <v>442</v>
      </c>
      <c r="G54" s="18" t="s">
        <v>157</v>
      </c>
      <c r="H54" s="18" t="s">
        <v>41</v>
      </c>
      <c r="I54" s="18" t="s">
        <v>199</v>
      </c>
      <c r="J54" s="18" t="s">
        <v>352</v>
      </c>
      <c r="K54" s="18" t="s">
        <v>166</v>
      </c>
      <c r="L54" s="19" t="s">
        <v>126</v>
      </c>
      <c r="M54" s="19"/>
      <c r="N54" s="18" t="s">
        <v>46</v>
      </c>
    </row>
    <row r="55" spans="1:14" ht="25.5" customHeight="1" x14ac:dyDescent="0.25">
      <c r="A55" s="18" t="s">
        <v>443</v>
      </c>
      <c r="B55" s="18" t="s">
        <v>438</v>
      </c>
      <c r="C55" s="18" t="s">
        <v>444</v>
      </c>
      <c r="D55" s="18" t="s">
        <v>445</v>
      </c>
      <c r="E55" s="18" t="s">
        <v>446</v>
      </c>
      <c r="F55" s="18" t="s">
        <v>447</v>
      </c>
      <c r="G55" s="18" t="s">
        <v>157</v>
      </c>
      <c r="H55" s="18" t="s">
        <v>10</v>
      </c>
      <c r="I55" s="18" t="s">
        <v>199</v>
      </c>
      <c r="J55" s="18" t="s">
        <v>357</v>
      </c>
      <c r="K55" s="18" t="s">
        <v>166</v>
      </c>
      <c r="L55" s="19" t="s">
        <v>126</v>
      </c>
      <c r="M55" s="19"/>
      <c r="N55" s="18" t="s">
        <v>20</v>
      </c>
    </row>
    <row r="56" spans="1:14" ht="51" x14ac:dyDescent="0.25">
      <c r="A56" s="18" t="s">
        <v>448</v>
      </c>
      <c r="B56" s="18" t="s">
        <v>438</v>
      </c>
      <c r="C56" s="18" t="s">
        <v>449</v>
      </c>
      <c r="D56" s="18" t="s">
        <v>450</v>
      </c>
      <c r="E56" s="18" t="s">
        <v>451</v>
      </c>
      <c r="F56" s="18" t="s">
        <v>452</v>
      </c>
      <c r="G56" s="18" t="s">
        <v>157</v>
      </c>
      <c r="H56" s="18" t="s">
        <v>10</v>
      </c>
      <c r="I56" s="18" t="s">
        <v>199</v>
      </c>
      <c r="J56" s="18" t="s">
        <v>443</v>
      </c>
      <c r="K56" s="18" t="s">
        <v>166</v>
      </c>
      <c r="L56" s="19" t="s">
        <v>126</v>
      </c>
      <c r="M56" s="19"/>
      <c r="N56" s="18" t="s">
        <v>20</v>
      </c>
    </row>
    <row r="57" spans="1:14" ht="25.5" hidden="1" customHeight="1" x14ac:dyDescent="0.25">
      <c r="A57" s="18" t="s">
        <v>453</v>
      </c>
      <c r="B57" s="18" t="s">
        <v>438</v>
      </c>
      <c r="C57" s="18" t="s">
        <v>454</v>
      </c>
      <c r="D57" s="18" t="s">
        <v>455</v>
      </c>
      <c r="E57" s="18" t="s">
        <v>456</v>
      </c>
      <c r="F57" s="18" t="s">
        <v>457</v>
      </c>
      <c r="G57" s="18" t="s">
        <v>157</v>
      </c>
      <c r="H57" s="18" t="s">
        <v>77</v>
      </c>
      <c r="I57" s="18" t="s">
        <v>199</v>
      </c>
      <c r="J57" s="18" t="s">
        <v>458</v>
      </c>
      <c r="K57" s="18" t="s">
        <v>159</v>
      </c>
      <c r="L57" s="19" t="s">
        <v>126</v>
      </c>
      <c r="M57" s="19"/>
      <c r="N57" s="18" t="s">
        <v>76</v>
      </c>
    </row>
    <row r="58" spans="1:14" ht="25.5" customHeight="1" x14ac:dyDescent="0.25">
      <c r="A58" s="18" t="s">
        <v>459</v>
      </c>
      <c r="B58" s="18" t="s">
        <v>438</v>
      </c>
      <c r="C58" s="18" t="s">
        <v>460</v>
      </c>
      <c r="D58" s="18" t="s">
        <v>461</v>
      </c>
      <c r="E58" s="18" t="s">
        <v>462</v>
      </c>
      <c r="F58" s="18" t="s">
        <v>463</v>
      </c>
      <c r="G58" s="18" t="s">
        <v>157</v>
      </c>
      <c r="H58" s="18" t="s">
        <v>10</v>
      </c>
      <c r="I58" s="18" t="s">
        <v>199</v>
      </c>
      <c r="J58" s="18" t="s">
        <v>464</v>
      </c>
      <c r="K58" s="18" t="s">
        <v>159</v>
      </c>
      <c r="L58" s="19" t="s">
        <v>126</v>
      </c>
      <c r="M58" s="19"/>
      <c r="N58" s="18" t="s">
        <v>20</v>
      </c>
    </row>
    <row r="59" spans="1:14" ht="25.5" hidden="1" x14ac:dyDescent="0.25">
      <c r="A59" s="18" t="s">
        <v>465</v>
      </c>
      <c r="B59" s="18" t="s">
        <v>438</v>
      </c>
      <c r="C59" s="18" t="s">
        <v>466</v>
      </c>
      <c r="D59" s="18" t="s">
        <v>467</v>
      </c>
      <c r="E59" s="18" t="s">
        <v>468</v>
      </c>
      <c r="F59" s="18" t="s">
        <v>469</v>
      </c>
      <c r="G59" s="18" t="s">
        <v>157</v>
      </c>
      <c r="H59" s="18" t="s">
        <v>41</v>
      </c>
      <c r="I59" s="18" t="s">
        <v>199</v>
      </c>
      <c r="J59" s="18" t="s">
        <v>448</v>
      </c>
      <c r="K59" s="18" t="s">
        <v>159</v>
      </c>
      <c r="L59" s="19" t="s">
        <v>126</v>
      </c>
      <c r="M59" s="19"/>
      <c r="N59" s="18" t="s">
        <v>46</v>
      </c>
    </row>
    <row r="60" spans="1:14" ht="25.5" x14ac:dyDescent="0.25">
      <c r="A60" s="18" t="s">
        <v>470</v>
      </c>
      <c r="B60" s="18" t="s">
        <v>438</v>
      </c>
      <c r="C60" s="18" t="s">
        <v>471</v>
      </c>
      <c r="D60" s="18" t="s">
        <v>472</v>
      </c>
      <c r="E60" s="18" t="s">
        <v>473</v>
      </c>
      <c r="F60" s="18" t="s">
        <v>474</v>
      </c>
      <c r="G60" s="18" t="s">
        <v>157</v>
      </c>
      <c r="H60" s="18" t="s">
        <v>10</v>
      </c>
      <c r="I60" s="18" t="s">
        <v>475</v>
      </c>
      <c r="J60" s="18" t="s">
        <v>443</v>
      </c>
      <c r="K60" s="18" t="s">
        <v>166</v>
      </c>
      <c r="L60" s="19" t="s">
        <v>126</v>
      </c>
      <c r="M60" s="19"/>
      <c r="N60" s="18" t="s">
        <v>30</v>
      </c>
    </row>
    <row r="61" spans="1:14" ht="38.25" customHeight="1" x14ac:dyDescent="0.25">
      <c r="A61" s="18" t="s">
        <v>476</v>
      </c>
      <c r="B61" s="18" t="s">
        <v>438</v>
      </c>
      <c r="C61" s="18" t="s">
        <v>477</v>
      </c>
      <c r="D61" s="18" t="s">
        <v>478</v>
      </c>
      <c r="E61" s="18" t="s">
        <v>479</v>
      </c>
      <c r="F61" s="18" t="s">
        <v>480</v>
      </c>
      <c r="G61" s="18" t="s">
        <v>157</v>
      </c>
      <c r="H61" s="18" t="s">
        <v>10</v>
      </c>
      <c r="I61" s="18" t="s">
        <v>475</v>
      </c>
      <c r="J61" s="18" t="s">
        <v>448</v>
      </c>
      <c r="K61" s="18" t="s">
        <v>166</v>
      </c>
      <c r="L61" s="19" t="s">
        <v>126</v>
      </c>
      <c r="M61" s="19"/>
      <c r="N61" s="18" t="s">
        <v>30</v>
      </c>
    </row>
    <row r="62" spans="1:14" ht="25.5" hidden="1" customHeight="1" x14ac:dyDescent="0.25">
      <c r="A62" s="18" t="s">
        <v>481</v>
      </c>
      <c r="B62" s="18" t="s">
        <v>438</v>
      </c>
      <c r="C62" s="18" t="s">
        <v>482</v>
      </c>
      <c r="D62" s="18" t="s">
        <v>483</v>
      </c>
      <c r="E62" s="18" t="s">
        <v>484</v>
      </c>
      <c r="F62" s="18" t="s">
        <v>485</v>
      </c>
      <c r="G62" s="18" t="s">
        <v>157</v>
      </c>
      <c r="H62" s="18" t="s">
        <v>77</v>
      </c>
      <c r="I62" s="18" t="s">
        <v>475</v>
      </c>
      <c r="J62" s="18" t="s">
        <v>437</v>
      </c>
      <c r="K62" s="18" t="s">
        <v>159</v>
      </c>
      <c r="L62" s="19" t="s">
        <v>126</v>
      </c>
      <c r="M62" s="19"/>
      <c r="N62" s="18" t="s">
        <v>82</v>
      </c>
    </row>
    <row r="63" spans="1:14" ht="25.5" customHeight="1" x14ac:dyDescent="0.25">
      <c r="A63" s="18" t="s">
        <v>486</v>
      </c>
      <c r="B63" s="18" t="s">
        <v>438</v>
      </c>
      <c r="C63" s="18" t="s">
        <v>487</v>
      </c>
      <c r="D63" s="18" t="s">
        <v>488</v>
      </c>
      <c r="E63" s="18" t="s">
        <v>489</v>
      </c>
      <c r="F63" s="18" t="s">
        <v>490</v>
      </c>
      <c r="G63" s="18" t="s">
        <v>157</v>
      </c>
      <c r="H63" s="18" t="s">
        <v>10</v>
      </c>
      <c r="I63" s="18" t="s">
        <v>188</v>
      </c>
      <c r="J63" s="18" t="s">
        <v>448</v>
      </c>
      <c r="K63" s="18" t="s">
        <v>166</v>
      </c>
      <c r="L63" s="19" t="s">
        <v>126</v>
      </c>
      <c r="M63" s="19"/>
      <c r="N63" s="18" t="s">
        <v>20</v>
      </c>
    </row>
    <row r="64" spans="1:14" ht="63.75" hidden="1" customHeight="1" x14ac:dyDescent="0.25">
      <c r="A64" s="18" t="s">
        <v>491</v>
      </c>
      <c r="B64" s="18" t="s">
        <v>438</v>
      </c>
      <c r="C64" s="18" t="s">
        <v>492</v>
      </c>
      <c r="D64" s="18" t="s">
        <v>493</v>
      </c>
      <c r="E64" s="18" t="s">
        <v>494</v>
      </c>
      <c r="F64" s="18" t="s">
        <v>495</v>
      </c>
      <c r="G64" s="18" t="s">
        <v>393</v>
      </c>
      <c r="H64" s="18" t="s">
        <v>77</v>
      </c>
      <c r="I64" s="18" t="s">
        <v>496</v>
      </c>
      <c r="J64" s="18" t="s">
        <v>448</v>
      </c>
      <c r="K64" s="18" t="s">
        <v>182</v>
      </c>
      <c r="L64" s="19" t="s">
        <v>126</v>
      </c>
      <c r="M64" s="19"/>
      <c r="N64" s="18" t="s">
        <v>82</v>
      </c>
    </row>
    <row r="65" spans="1:14" ht="25.5" hidden="1" customHeight="1" x14ac:dyDescent="0.25">
      <c r="A65" s="18" t="s">
        <v>497</v>
      </c>
      <c r="B65" s="18" t="s">
        <v>438</v>
      </c>
      <c r="C65" s="18" t="s">
        <v>498</v>
      </c>
      <c r="D65" s="18" t="s">
        <v>499</v>
      </c>
      <c r="E65" s="18" t="s">
        <v>500</v>
      </c>
      <c r="F65" s="18" t="s">
        <v>501</v>
      </c>
      <c r="G65" s="18" t="s">
        <v>334</v>
      </c>
      <c r="H65" s="18" t="s">
        <v>109</v>
      </c>
      <c r="I65" s="18" t="s">
        <v>496</v>
      </c>
      <c r="J65" s="18" t="s">
        <v>470</v>
      </c>
      <c r="K65" s="18" t="s">
        <v>166</v>
      </c>
      <c r="L65" s="19" t="s">
        <v>126</v>
      </c>
      <c r="M65" s="19"/>
      <c r="N65" s="18" t="s">
        <v>108</v>
      </c>
    </row>
    <row r="66" spans="1:14" ht="38.25" hidden="1" customHeight="1" x14ac:dyDescent="0.25">
      <c r="A66" s="18" t="s">
        <v>502</v>
      </c>
      <c r="B66" s="18" t="s">
        <v>438</v>
      </c>
      <c r="C66" s="18" t="s">
        <v>503</v>
      </c>
      <c r="D66" s="18" t="s">
        <v>504</v>
      </c>
      <c r="E66" s="18" t="s">
        <v>505</v>
      </c>
      <c r="F66" s="18" t="s">
        <v>506</v>
      </c>
      <c r="G66" s="18" t="s">
        <v>334</v>
      </c>
      <c r="H66" s="18" t="s">
        <v>103</v>
      </c>
      <c r="I66" s="18" t="s">
        <v>507</v>
      </c>
      <c r="J66" s="18" t="s">
        <v>448</v>
      </c>
      <c r="K66" s="18" t="s">
        <v>182</v>
      </c>
      <c r="L66" s="19" t="s">
        <v>126</v>
      </c>
      <c r="M66" s="19"/>
      <c r="N66" s="18" t="s">
        <v>102</v>
      </c>
    </row>
    <row r="67" spans="1:14" ht="38.25" x14ac:dyDescent="0.25">
      <c r="A67" s="18" t="s">
        <v>508</v>
      </c>
      <c r="B67" s="18" t="s">
        <v>509</v>
      </c>
      <c r="C67" s="18" t="s">
        <v>510</v>
      </c>
      <c r="D67" s="18" t="s">
        <v>511</v>
      </c>
      <c r="E67" s="18" t="s">
        <v>512</v>
      </c>
      <c r="F67" s="18" t="s">
        <v>513</v>
      </c>
      <c r="G67" s="18" t="s">
        <v>157</v>
      </c>
      <c r="H67" s="18" t="s">
        <v>10</v>
      </c>
      <c r="I67" s="18" t="s">
        <v>158</v>
      </c>
      <c r="J67" s="18" t="s">
        <v>362</v>
      </c>
      <c r="K67" s="18" t="s">
        <v>166</v>
      </c>
      <c r="L67" s="19" t="s">
        <v>126</v>
      </c>
      <c r="M67" s="19"/>
      <c r="N67" s="18" t="s">
        <v>25</v>
      </c>
    </row>
    <row r="68" spans="1:14" ht="25.5" hidden="1" customHeight="1" x14ac:dyDescent="0.25">
      <c r="A68" s="18" t="s">
        <v>514</v>
      </c>
      <c r="B68" s="18" t="s">
        <v>509</v>
      </c>
      <c r="C68" s="18" t="s">
        <v>515</v>
      </c>
      <c r="D68" s="18" t="s">
        <v>516</v>
      </c>
      <c r="E68" s="18" t="s">
        <v>517</v>
      </c>
      <c r="F68" s="18" t="s">
        <v>518</v>
      </c>
      <c r="G68" s="18" t="s">
        <v>157</v>
      </c>
      <c r="H68" s="18" t="s">
        <v>41</v>
      </c>
      <c r="I68" s="18" t="s">
        <v>507</v>
      </c>
      <c r="J68" s="18" t="s">
        <v>346</v>
      </c>
      <c r="K68" s="18" t="s">
        <v>159</v>
      </c>
      <c r="L68" s="19" t="s">
        <v>126</v>
      </c>
      <c r="M68" s="19" t="s">
        <v>519</v>
      </c>
      <c r="N68" s="18" t="s">
        <v>46</v>
      </c>
    </row>
    <row r="69" spans="1:14" ht="25.5" customHeight="1" x14ac:dyDescent="0.25">
      <c r="A69" s="18" t="s">
        <v>520</v>
      </c>
      <c r="B69" s="18" t="s">
        <v>509</v>
      </c>
      <c r="C69" s="18" t="s">
        <v>521</v>
      </c>
      <c r="D69" s="18" t="s">
        <v>522</v>
      </c>
      <c r="E69" s="18" t="s">
        <v>523</v>
      </c>
      <c r="F69" s="18" t="s">
        <v>524</v>
      </c>
      <c r="G69" s="18" t="s">
        <v>157</v>
      </c>
      <c r="H69" s="18" t="s">
        <v>10</v>
      </c>
      <c r="I69" s="18" t="s">
        <v>199</v>
      </c>
      <c r="J69" s="18" t="s">
        <v>362</v>
      </c>
      <c r="K69" s="18" t="s">
        <v>166</v>
      </c>
      <c r="L69" s="19" t="s">
        <v>126</v>
      </c>
      <c r="M69" s="19" t="s">
        <v>525</v>
      </c>
      <c r="N69" s="18" t="s">
        <v>25</v>
      </c>
    </row>
    <row r="70" spans="1:14" ht="38.25" customHeight="1" x14ac:dyDescent="0.25">
      <c r="A70" s="18" t="s">
        <v>309</v>
      </c>
      <c r="B70" s="18" t="s">
        <v>509</v>
      </c>
      <c r="C70" s="18" t="s">
        <v>526</v>
      </c>
      <c r="D70" s="18" t="s">
        <v>527</v>
      </c>
      <c r="E70" s="18" t="s">
        <v>528</v>
      </c>
      <c r="F70" s="18" t="s">
        <v>529</v>
      </c>
      <c r="G70" s="18" t="s">
        <v>157</v>
      </c>
      <c r="H70" s="18" t="s">
        <v>10</v>
      </c>
      <c r="I70" s="18" t="s">
        <v>199</v>
      </c>
      <c r="J70" s="18" t="s">
        <v>530</v>
      </c>
      <c r="K70" s="18" t="s">
        <v>182</v>
      </c>
      <c r="L70" s="19" t="s">
        <v>126</v>
      </c>
      <c r="M70" s="19" t="s">
        <v>531</v>
      </c>
      <c r="N70" s="18" t="s">
        <v>25</v>
      </c>
    </row>
    <row r="71" spans="1:14" ht="25.5" customHeight="1" x14ac:dyDescent="0.25">
      <c r="A71" s="18" t="s">
        <v>532</v>
      </c>
      <c r="B71" s="18" t="s">
        <v>509</v>
      </c>
      <c r="C71" s="18" t="s">
        <v>533</v>
      </c>
      <c r="D71" s="18" t="s">
        <v>534</v>
      </c>
      <c r="E71" s="18" t="s">
        <v>535</v>
      </c>
      <c r="F71" s="18" t="s">
        <v>536</v>
      </c>
      <c r="G71" s="18" t="s">
        <v>157</v>
      </c>
      <c r="H71" s="18" t="s">
        <v>10</v>
      </c>
      <c r="I71" s="18" t="s">
        <v>199</v>
      </c>
      <c r="J71" s="18" t="s">
        <v>309</v>
      </c>
      <c r="K71" s="18" t="s">
        <v>159</v>
      </c>
      <c r="L71" s="19" t="s">
        <v>126</v>
      </c>
      <c r="M71" s="19"/>
      <c r="N71" s="18" t="s">
        <v>25</v>
      </c>
    </row>
    <row r="72" spans="1:14" ht="25.5" hidden="1" customHeight="1" x14ac:dyDescent="0.25">
      <c r="A72" s="18" t="s">
        <v>537</v>
      </c>
      <c r="B72" s="18" t="s">
        <v>509</v>
      </c>
      <c r="C72" s="18" t="s">
        <v>538</v>
      </c>
      <c r="D72" s="18" t="s">
        <v>539</v>
      </c>
      <c r="E72" s="18" t="s">
        <v>540</v>
      </c>
      <c r="F72" s="18" t="s">
        <v>541</v>
      </c>
      <c r="G72" s="18" t="s">
        <v>157</v>
      </c>
      <c r="H72" s="18" t="s">
        <v>41</v>
      </c>
      <c r="I72" s="18" t="s">
        <v>199</v>
      </c>
      <c r="J72" s="18" t="s">
        <v>309</v>
      </c>
      <c r="K72" s="18" t="s">
        <v>166</v>
      </c>
      <c r="L72" s="19" t="s">
        <v>126</v>
      </c>
      <c r="M72" s="19"/>
      <c r="N72" s="18" t="s">
        <v>46</v>
      </c>
    </row>
    <row r="73" spans="1:14" ht="38.25" customHeight="1" x14ac:dyDescent="0.25">
      <c r="A73" s="18" t="s">
        <v>542</v>
      </c>
      <c r="B73" s="18" t="s">
        <v>509</v>
      </c>
      <c r="C73" s="18" t="s">
        <v>543</v>
      </c>
      <c r="D73" s="18" t="s">
        <v>544</v>
      </c>
      <c r="E73" s="18" t="s">
        <v>545</v>
      </c>
      <c r="F73" s="18" t="s">
        <v>546</v>
      </c>
      <c r="G73" s="18" t="s">
        <v>157</v>
      </c>
      <c r="H73" s="18" t="s">
        <v>10</v>
      </c>
      <c r="I73" s="18" t="s">
        <v>199</v>
      </c>
      <c r="J73" s="18" t="s">
        <v>309</v>
      </c>
      <c r="K73" s="18" t="s">
        <v>159</v>
      </c>
      <c r="L73" s="19" t="s">
        <v>126</v>
      </c>
      <c r="M73" s="19"/>
      <c r="N73" s="18" t="s">
        <v>25</v>
      </c>
    </row>
    <row r="74" spans="1:14" ht="25.5" customHeight="1" x14ac:dyDescent="0.25">
      <c r="A74" s="18" t="s">
        <v>547</v>
      </c>
      <c r="B74" s="18" t="s">
        <v>509</v>
      </c>
      <c r="C74" s="18" t="s">
        <v>548</v>
      </c>
      <c r="D74" s="18" t="s">
        <v>549</v>
      </c>
      <c r="E74" s="18" t="s">
        <v>550</v>
      </c>
      <c r="F74" s="18" t="s">
        <v>551</v>
      </c>
      <c r="G74" s="18" t="s">
        <v>157</v>
      </c>
      <c r="H74" s="18" t="s">
        <v>10</v>
      </c>
      <c r="I74" s="18" t="s">
        <v>199</v>
      </c>
      <c r="J74" s="18" t="s">
        <v>309</v>
      </c>
      <c r="K74" s="18" t="s">
        <v>166</v>
      </c>
      <c r="L74" s="19" t="s">
        <v>126</v>
      </c>
      <c r="M74" s="19"/>
      <c r="N74" s="18" t="s">
        <v>25</v>
      </c>
    </row>
    <row r="75" spans="1:14" ht="25.5" hidden="1" customHeight="1" x14ac:dyDescent="0.25">
      <c r="A75" s="18" t="s">
        <v>552</v>
      </c>
      <c r="B75" s="18" t="s">
        <v>509</v>
      </c>
      <c r="C75" s="18" t="s">
        <v>553</v>
      </c>
      <c r="D75" s="18" t="s">
        <v>554</v>
      </c>
      <c r="E75" s="18" t="s">
        <v>555</v>
      </c>
      <c r="F75" s="18" t="s">
        <v>556</v>
      </c>
      <c r="G75" s="18" t="s">
        <v>393</v>
      </c>
      <c r="H75" s="18" t="s">
        <v>77</v>
      </c>
      <c r="I75" s="18" t="s">
        <v>199</v>
      </c>
      <c r="J75" s="18" t="s">
        <v>309</v>
      </c>
      <c r="K75" s="18" t="s">
        <v>166</v>
      </c>
      <c r="L75" s="19" t="s">
        <v>126</v>
      </c>
      <c r="M75" s="19"/>
      <c r="N75" s="18" t="s">
        <v>82</v>
      </c>
    </row>
    <row r="76" spans="1:14" ht="25.5" hidden="1" customHeight="1" x14ac:dyDescent="0.25">
      <c r="A76" s="18" t="s">
        <v>557</v>
      </c>
      <c r="B76" s="18" t="s">
        <v>509</v>
      </c>
      <c r="C76" s="18" t="s">
        <v>558</v>
      </c>
      <c r="D76" s="18" t="s">
        <v>559</v>
      </c>
      <c r="E76" s="18" t="s">
        <v>560</v>
      </c>
      <c r="F76" s="18" t="s">
        <v>561</v>
      </c>
      <c r="G76" s="18" t="s">
        <v>157</v>
      </c>
      <c r="H76" s="18" t="s">
        <v>41</v>
      </c>
      <c r="I76" s="18" t="s">
        <v>199</v>
      </c>
      <c r="J76" s="18" t="s">
        <v>309</v>
      </c>
      <c r="K76" s="18" t="s">
        <v>166</v>
      </c>
      <c r="L76" s="19" t="s">
        <v>126</v>
      </c>
      <c r="M76" s="19"/>
      <c r="N76" s="18" t="s">
        <v>46</v>
      </c>
    </row>
    <row r="77" spans="1:14" ht="25.5" hidden="1" customHeight="1" x14ac:dyDescent="0.25">
      <c r="A77" s="18" t="s">
        <v>562</v>
      </c>
      <c r="B77" s="18" t="s">
        <v>509</v>
      </c>
      <c r="C77" s="18" t="s">
        <v>563</v>
      </c>
      <c r="D77" s="18" t="s">
        <v>564</v>
      </c>
      <c r="E77" s="18" t="s">
        <v>565</v>
      </c>
      <c r="F77" s="18" t="s">
        <v>566</v>
      </c>
      <c r="G77" s="18" t="s">
        <v>157</v>
      </c>
      <c r="H77" s="18" t="s">
        <v>41</v>
      </c>
      <c r="I77" s="18" t="s">
        <v>199</v>
      </c>
      <c r="J77" s="18" t="s">
        <v>557</v>
      </c>
      <c r="K77" s="18" t="s">
        <v>166</v>
      </c>
      <c r="L77" s="19" t="s">
        <v>126</v>
      </c>
      <c r="M77" s="19"/>
      <c r="N77" s="18" t="s">
        <v>46</v>
      </c>
    </row>
    <row r="78" spans="1:14" ht="25.5" hidden="1" customHeight="1" x14ac:dyDescent="0.25">
      <c r="A78" s="18" t="s">
        <v>567</v>
      </c>
      <c r="B78" s="18" t="s">
        <v>509</v>
      </c>
      <c r="C78" s="18" t="s">
        <v>568</v>
      </c>
      <c r="D78" s="18" t="s">
        <v>569</v>
      </c>
      <c r="E78" s="18" t="s">
        <v>570</v>
      </c>
      <c r="F78" s="18" t="s">
        <v>571</v>
      </c>
      <c r="G78" s="18" t="s">
        <v>393</v>
      </c>
      <c r="H78" s="18" t="s">
        <v>77</v>
      </c>
      <c r="I78" s="18" t="s">
        <v>199</v>
      </c>
      <c r="J78" s="18" t="s">
        <v>557</v>
      </c>
      <c r="K78" s="18" t="s">
        <v>182</v>
      </c>
      <c r="L78" s="19" t="s">
        <v>126</v>
      </c>
      <c r="M78" s="19"/>
      <c r="N78" s="18" t="s">
        <v>82</v>
      </c>
    </row>
    <row r="79" spans="1:14" ht="25.5" hidden="1" customHeight="1" x14ac:dyDescent="0.25">
      <c r="A79" s="18" t="s">
        <v>572</v>
      </c>
      <c r="B79" s="18" t="s">
        <v>509</v>
      </c>
      <c r="C79" s="18" t="s">
        <v>573</v>
      </c>
      <c r="D79" s="18" t="s">
        <v>574</v>
      </c>
      <c r="E79" s="18" t="s">
        <v>575</v>
      </c>
      <c r="F79" s="18" t="s">
        <v>576</v>
      </c>
      <c r="G79" s="18" t="s">
        <v>157</v>
      </c>
      <c r="H79" s="18" t="s">
        <v>41</v>
      </c>
      <c r="I79" s="18" t="s">
        <v>199</v>
      </c>
      <c r="J79" s="18" t="s">
        <v>373</v>
      </c>
      <c r="K79" s="18" t="s">
        <v>166</v>
      </c>
      <c r="L79" s="19" t="s">
        <v>126</v>
      </c>
      <c r="M79" s="19"/>
      <c r="N79" s="18" t="s">
        <v>51</v>
      </c>
    </row>
    <row r="80" spans="1:14" ht="25.5" hidden="1" customHeight="1" x14ac:dyDescent="0.25">
      <c r="A80" s="18" t="s">
        <v>577</v>
      </c>
      <c r="B80" s="18" t="s">
        <v>509</v>
      </c>
      <c r="C80" s="18" t="s">
        <v>578</v>
      </c>
      <c r="D80" s="18" t="s">
        <v>579</v>
      </c>
      <c r="E80" s="18" t="s">
        <v>580</v>
      </c>
      <c r="F80" s="18" t="s">
        <v>581</v>
      </c>
      <c r="G80" s="18" t="s">
        <v>157</v>
      </c>
      <c r="H80" s="18" t="s">
        <v>41</v>
      </c>
      <c r="I80" s="18" t="s">
        <v>199</v>
      </c>
      <c r="J80" s="18" t="s">
        <v>373</v>
      </c>
      <c r="K80" s="18" t="s">
        <v>159</v>
      </c>
      <c r="L80" s="19" t="s">
        <v>126</v>
      </c>
      <c r="M80" s="19"/>
      <c r="N80" s="18" t="s">
        <v>51</v>
      </c>
    </row>
    <row r="81" spans="1:14" ht="25.5" hidden="1" customHeight="1" x14ac:dyDescent="0.25">
      <c r="A81" s="18" t="s">
        <v>582</v>
      </c>
      <c r="B81" s="18" t="s">
        <v>509</v>
      </c>
      <c r="C81" s="18" t="s">
        <v>583</v>
      </c>
      <c r="D81" s="18" t="s">
        <v>584</v>
      </c>
      <c r="E81" s="18" t="s">
        <v>585</v>
      </c>
      <c r="F81" s="18" t="s">
        <v>586</v>
      </c>
      <c r="G81" s="18" t="s">
        <v>157</v>
      </c>
      <c r="H81" s="18" t="s">
        <v>41</v>
      </c>
      <c r="I81" s="18" t="s">
        <v>199</v>
      </c>
      <c r="J81" s="18" t="s">
        <v>373</v>
      </c>
      <c r="K81" s="18" t="s">
        <v>166</v>
      </c>
      <c r="L81" s="19" t="s">
        <v>126</v>
      </c>
      <c r="M81" s="19"/>
      <c r="N81" s="18" t="s">
        <v>51</v>
      </c>
    </row>
    <row r="82" spans="1:14" ht="38.25" hidden="1" customHeight="1" x14ac:dyDescent="0.25">
      <c r="A82" s="18" t="s">
        <v>587</v>
      </c>
      <c r="B82" s="18" t="s">
        <v>509</v>
      </c>
      <c r="C82" s="18" t="s">
        <v>588</v>
      </c>
      <c r="D82" s="18" t="s">
        <v>589</v>
      </c>
      <c r="E82" s="18" t="s">
        <v>590</v>
      </c>
      <c r="F82" s="18" t="s">
        <v>591</v>
      </c>
      <c r="G82" s="18" t="s">
        <v>157</v>
      </c>
      <c r="H82" s="18" t="s">
        <v>41</v>
      </c>
      <c r="I82" s="18" t="s">
        <v>199</v>
      </c>
      <c r="J82" s="18" t="s">
        <v>557</v>
      </c>
      <c r="K82" s="18" t="s">
        <v>166</v>
      </c>
      <c r="L82" s="19" t="s">
        <v>126</v>
      </c>
      <c r="M82" s="19"/>
      <c r="N82" s="18" t="s">
        <v>56</v>
      </c>
    </row>
    <row r="83" spans="1:14" ht="25.5" hidden="1" customHeight="1" x14ac:dyDescent="0.25">
      <c r="A83" s="18" t="s">
        <v>592</v>
      </c>
      <c r="B83" s="18" t="s">
        <v>509</v>
      </c>
      <c r="C83" s="18" t="s">
        <v>593</v>
      </c>
      <c r="D83" s="18" t="s">
        <v>594</v>
      </c>
      <c r="E83" s="18" t="s">
        <v>595</v>
      </c>
      <c r="F83" s="18" t="s">
        <v>596</v>
      </c>
      <c r="G83" s="18" t="s">
        <v>328</v>
      </c>
      <c r="H83" s="18" t="s">
        <v>77</v>
      </c>
      <c r="I83" s="18" t="s">
        <v>496</v>
      </c>
      <c r="J83" s="18" t="s">
        <v>557</v>
      </c>
      <c r="K83" s="18" t="s">
        <v>182</v>
      </c>
      <c r="L83" s="19" t="s">
        <v>126</v>
      </c>
      <c r="M83" s="19"/>
      <c r="N83" s="18" t="s">
        <v>82</v>
      </c>
    </row>
    <row r="84" spans="1:14" ht="25.5" hidden="1" customHeight="1" x14ac:dyDescent="0.25">
      <c r="A84" s="18" t="s">
        <v>597</v>
      </c>
      <c r="B84" s="18" t="s">
        <v>509</v>
      </c>
      <c r="C84" s="18" t="s">
        <v>598</v>
      </c>
      <c r="D84" s="18" t="s">
        <v>599</v>
      </c>
      <c r="E84" s="18" t="s">
        <v>600</v>
      </c>
      <c r="F84" s="18" t="s">
        <v>601</v>
      </c>
      <c r="G84" s="18" t="s">
        <v>334</v>
      </c>
      <c r="H84" s="18" t="s">
        <v>109</v>
      </c>
      <c r="I84" s="18" t="s">
        <v>507</v>
      </c>
      <c r="J84" s="18" t="s">
        <v>572</v>
      </c>
      <c r="K84" s="18" t="s">
        <v>182</v>
      </c>
      <c r="L84" s="19" t="s">
        <v>126</v>
      </c>
      <c r="M84" s="19"/>
      <c r="N84" s="18" t="s">
        <v>108</v>
      </c>
    </row>
    <row r="85" spans="1:14" ht="25.5" customHeight="1" x14ac:dyDescent="0.25">
      <c r="A85" s="18" t="s">
        <v>602</v>
      </c>
      <c r="B85" s="18" t="s">
        <v>509</v>
      </c>
      <c r="C85" s="18" t="s">
        <v>603</v>
      </c>
      <c r="D85" s="18" t="s">
        <v>604</v>
      </c>
      <c r="E85" s="18" t="s">
        <v>605</v>
      </c>
      <c r="F85" s="18" t="s">
        <v>606</v>
      </c>
      <c r="G85" s="18" t="s">
        <v>157</v>
      </c>
      <c r="H85" s="18" t="s">
        <v>10</v>
      </c>
      <c r="I85" s="18" t="s">
        <v>188</v>
      </c>
      <c r="J85" s="18" t="s">
        <v>607</v>
      </c>
      <c r="K85" s="18" t="s">
        <v>182</v>
      </c>
      <c r="L85" s="19" t="s">
        <v>126</v>
      </c>
      <c r="M85" s="19"/>
      <c r="N85" s="18" t="s">
        <v>25</v>
      </c>
    </row>
    <row r="86" spans="1:14" ht="25.5" customHeight="1" x14ac:dyDescent="0.25">
      <c r="A86" s="18" t="s">
        <v>608</v>
      </c>
      <c r="B86" s="18" t="s">
        <v>609</v>
      </c>
      <c r="C86" s="18" t="s">
        <v>610</v>
      </c>
      <c r="D86" s="18" t="s">
        <v>611</v>
      </c>
      <c r="E86" s="18" t="s">
        <v>612</v>
      </c>
      <c r="F86" s="18" t="s">
        <v>613</v>
      </c>
      <c r="G86" s="18" t="s">
        <v>157</v>
      </c>
      <c r="H86" s="18" t="s">
        <v>10</v>
      </c>
      <c r="I86" s="18" t="s">
        <v>475</v>
      </c>
      <c r="J86" s="18" t="s">
        <v>225</v>
      </c>
      <c r="K86" s="18" t="s">
        <v>166</v>
      </c>
      <c r="L86" s="19" t="s">
        <v>126</v>
      </c>
      <c r="M86" s="19"/>
      <c r="N86" s="18" t="s">
        <v>30</v>
      </c>
    </row>
    <row r="87" spans="1:14" ht="25.5" customHeight="1" x14ac:dyDescent="0.25">
      <c r="A87" s="18" t="s">
        <v>614</v>
      </c>
      <c r="B87" s="18" t="s">
        <v>609</v>
      </c>
      <c r="C87" s="18" t="s">
        <v>615</v>
      </c>
      <c r="D87" s="18" t="s">
        <v>616</v>
      </c>
      <c r="E87" s="18" t="s">
        <v>617</v>
      </c>
      <c r="F87" s="18" t="s">
        <v>618</v>
      </c>
      <c r="G87" s="18" t="s">
        <v>157</v>
      </c>
      <c r="H87" s="18" t="s">
        <v>10</v>
      </c>
      <c r="I87" s="18" t="s">
        <v>475</v>
      </c>
      <c r="J87" s="18" t="s">
        <v>225</v>
      </c>
      <c r="K87" s="18" t="s">
        <v>166</v>
      </c>
      <c r="L87" s="19" t="s">
        <v>126</v>
      </c>
      <c r="M87" s="19"/>
      <c r="N87" s="18" t="s">
        <v>30</v>
      </c>
    </row>
    <row r="88" spans="1:14" ht="38.25" x14ac:dyDescent="0.25">
      <c r="A88" s="18" t="s">
        <v>619</v>
      </c>
      <c r="B88" s="18" t="s">
        <v>609</v>
      </c>
      <c r="C88" s="18" t="s">
        <v>620</v>
      </c>
      <c r="D88" s="18" t="s">
        <v>621</v>
      </c>
      <c r="E88" s="18" t="s">
        <v>622</v>
      </c>
      <c r="F88" s="18" t="s">
        <v>623</v>
      </c>
      <c r="G88" s="18" t="s">
        <v>157</v>
      </c>
      <c r="H88" s="18" t="s">
        <v>10</v>
      </c>
      <c r="I88" s="18" t="s">
        <v>475</v>
      </c>
      <c r="J88" s="18" t="s">
        <v>614</v>
      </c>
      <c r="K88" s="18" t="s">
        <v>166</v>
      </c>
      <c r="L88" s="19" t="s">
        <v>126</v>
      </c>
      <c r="M88" s="19"/>
      <c r="N88" s="18" t="s">
        <v>30</v>
      </c>
    </row>
    <row r="89" spans="1:14" ht="25.5" customHeight="1" x14ac:dyDescent="0.25">
      <c r="A89" s="18" t="s">
        <v>624</v>
      </c>
      <c r="B89" s="18" t="s">
        <v>609</v>
      </c>
      <c r="C89" s="18" t="s">
        <v>625</v>
      </c>
      <c r="D89" s="18" t="s">
        <v>626</v>
      </c>
      <c r="E89" s="18" t="s">
        <v>627</v>
      </c>
      <c r="F89" s="18" t="s">
        <v>628</v>
      </c>
      <c r="G89" s="18" t="s">
        <v>157</v>
      </c>
      <c r="H89" s="18" t="s">
        <v>10</v>
      </c>
      <c r="I89" s="18" t="s">
        <v>629</v>
      </c>
      <c r="J89" s="18" t="s">
        <v>630</v>
      </c>
      <c r="K89" s="18" t="s">
        <v>166</v>
      </c>
      <c r="L89" s="19" t="s">
        <v>126</v>
      </c>
      <c r="M89" s="19"/>
      <c r="N89" s="18" t="s">
        <v>30</v>
      </c>
    </row>
    <row r="90" spans="1:14" ht="38.25" customHeight="1" x14ac:dyDescent="0.25">
      <c r="A90" s="18" t="s">
        <v>631</v>
      </c>
      <c r="B90" s="18" t="s">
        <v>609</v>
      </c>
      <c r="C90" s="18" t="s">
        <v>632</v>
      </c>
      <c r="D90" s="18" t="s">
        <v>633</v>
      </c>
      <c r="E90" s="18" t="s">
        <v>634</v>
      </c>
      <c r="F90" s="18" t="s">
        <v>635</v>
      </c>
      <c r="G90" s="18" t="s">
        <v>157</v>
      </c>
      <c r="H90" s="18" t="s">
        <v>10</v>
      </c>
      <c r="I90" s="18" t="s">
        <v>475</v>
      </c>
      <c r="J90" s="18" t="s">
        <v>619</v>
      </c>
      <c r="K90" s="18" t="s">
        <v>182</v>
      </c>
      <c r="L90" s="19" t="s">
        <v>126</v>
      </c>
      <c r="M90" s="19" t="s">
        <v>636</v>
      </c>
      <c r="N90" s="18" t="s">
        <v>30</v>
      </c>
    </row>
    <row r="91" spans="1:14" ht="25.5" x14ac:dyDescent="0.25">
      <c r="A91" s="18" t="s">
        <v>637</v>
      </c>
      <c r="B91" s="18" t="s">
        <v>609</v>
      </c>
      <c r="C91" s="18" t="s">
        <v>638</v>
      </c>
      <c r="D91" s="18" t="s">
        <v>639</v>
      </c>
      <c r="E91" s="18" t="s">
        <v>640</v>
      </c>
      <c r="F91" s="18" t="s">
        <v>641</v>
      </c>
      <c r="G91" s="18" t="s">
        <v>157</v>
      </c>
      <c r="H91" s="18" t="s">
        <v>10</v>
      </c>
      <c r="I91" s="18" t="s">
        <v>475</v>
      </c>
      <c r="J91" s="18" t="s">
        <v>642</v>
      </c>
      <c r="K91" s="18" t="s">
        <v>166</v>
      </c>
      <c r="L91" s="19" t="s">
        <v>126</v>
      </c>
      <c r="M91" s="19"/>
      <c r="N91" s="18" t="s">
        <v>30</v>
      </c>
    </row>
    <row r="92" spans="1:14" ht="25.5" customHeight="1" x14ac:dyDescent="0.25">
      <c r="A92" s="18" t="s">
        <v>643</v>
      </c>
      <c r="B92" s="18" t="s">
        <v>609</v>
      </c>
      <c r="C92" s="18" t="s">
        <v>644</v>
      </c>
      <c r="D92" s="18" t="s">
        <v>645</v>
      </c>
      <c r="E92" s="18" t="s">
        <v>646</v>
      </c>
      <c r="F92" s="18" t="s">
        <v>647</v>
      </c>
      <c r="G92" s="18" t="s">
        <v>157</v>
      </c>
      <c r="H92" s="18" t="s">
        <v>10</v>
      </c>
      <c r="I92" s="18" t="s">
        <v>475</v>
      </c>
      <c r="J92" s="18" t="s">
        <v>637</v>
      </c>
      <c r="K92" s="18" t="s">
        <v>166</v>
      </c>
      <c r="L92" s="19" t="s">
        <v>126</v>
      </c>
      <c r="M92" s="19" t="s">
        <v>648</v>
      </c>
      <c r="N92" s="18" t="s">
        <v>30</v>
      </c>
    </row>
    <row r="93" spans="1:14" ht="25.5" hidden="1" x14ac:dyDescent="0.25">
      <c r="A93" s="18" t="s">
        <v>649</v>
      </c>
      <c r="B93" s="18" t="s">
        <v>609</v>
      </c>
      <c r="C93" s="18" t="s">
        <v>650</v>
      </c>
      <c r="D93" s="18" t="s">
        <v>651</v>
      </c>
      <c r="E93" s="18" t="s">
        <v>652</v>
      </c>
      <c r="F93" s="18" t="s">
        <v>653</v>
      </c>
      <c r="G93" s="18" t="s">
        <v>157</v>
      </c>
      <c r="H93" s="18" t="s">
        <v>41</v>
      </c>
      <c r="I93" s="18" t="s">
        <v>475</v>
      </c>
      <c r="J93" s="18" t="s">
        <v>557</v>
      </c>
      <c r="K93" s="18" t="s">
        <v>166</v>
      </c>
      <c r="L93" s="19" t="s">
        <v>126</v>
      </c>
      <c r="M93" s="19"/>
      <c r="N93" s="18" t="s">
        <v>46</v>
      </c>
    </row>
    <row r="94" spans="1:14" ht="25.5" hidden="1" customHeight="1" x14ac:dyDescent="0.25">
      <c r="A94" s="18" t="s">
        <v>654</v>
      </c>
      <c r="B94" s="18" t="s">
        <v>609</v>
      </c>
      <c r="C94" s="18" t="s">
        <v>655</v>
      </c>
      <c r="D94" s="18" t="s">
        <v>656</v>
      </c>
      <c r="E94" s="18" t="s">
        <v>657</v>
      </c>
      <c r="F94" s="18" t="s">
        <v>658</v>
      </c>
      <c r="G94" s="18" t="s">
        <v>157</v>
      </c>
      <c r="H94" s="18" t="s">
        <v>41</v>
      </c>
      <c r="I94" s="18" t="s">
        <v>475</v>
      </c>
      <c r="J94" s="18" t="s">
        <v>587</v>
      </c>
      <c r="K94" s="18" t="s">
        <v>166</v>
      </c>
      <c r="L94" s="19" t="s">
        <v>126</v>
      </c>
      <c r="M94" s="19"/>
      <c r="N94" s="18" t="s">
        <v>56</v>
      </c>
    </row>
    <row r="95" spans="1:14" ht="25.5" hidden="1" customHeight="1" x14ac:dyDescent="0.25">
      <c r="A95" s="18" t="s">
        <v>659</v>
      </c>
      <c r="B95" s="18" t="s">
        <v>609</v>
      </c>
      <c r="C95" s="18" t="s">
        <v>660</v>
      </c>
      <c r="D95" s="18" t="s">
        <v>661</v>
      </c>
      <c r="E95" s="18" t="s">
        <v>662</v>
      </c>
      <c r="F95" s="18" t="s">
        <v>663</v>
      </c>
      <c r="G95" s="18" t="s">
        <v>157</v>
      </c>
      <c r="H95" s="18" t="s">
        <v>41</v>
      </c>
      <c r="I95" s="18" t="s">
        <v>475</v>
      </c>
      <c r="J95" s="18" t="s">
        <v>664</v>
      </c>
      <c r="K95" s="18" t="s">
        <v>182</v>
      </c>
      <c r="L95" s="19" t="s">
        <v>126</v>
      </c>
      <c r="M95" s="19"/>
      <c r="N95" s="18" t="s">
        <v>51</v>
      </c>
    </row>
    <row r="96" spans="1:14" ht="38.25" hidden="1" x14ac:dyDescent="0.25">
      <c r="A96" s="18" t="s">
        <v>665</v>
      </c>
      <c r="B96" s="18" t="s">
        <v>609</v>
      </c>
      <c r="C96" s="18" t="s">
        <v>666</v>
      </c>
      <c r="D96" s="18" t="s">
        <v>667</v>
      </c>
      <c r="E96" s="18" t="s">
        <v>668</v>
      </c>
      <c r="F96" s="18" t="s">
        <v>669</v>
      </c>
      <c r="G96" s="18" t="s">
        <v>157</v>
      </c>
      <c r="H96" s="18" t="s">
        <v>41</v>
      </c>
      <c r="I96" s="18" t="s">
        <v>496</v>
      </c>
      <c r="J96" s="18" t="s">
        <v>299</v>
      </c>
      <c r="K96" s="18" t="s">
        <v>182</v>
      </c>
      <c r="L96" s="19" t="s">
        <v>126</v>
      </c>
      <c r="M96" s="19"/>
      <c r="N96" s="18" t="s">
        <v>56</v>
      </c>
    </row>
    <row r="97" spans="1:14" ht="25.5" hidden="1" customHeight="1" x14ac:dyDescent="0.25">
      <c r="A97" s="18" t="s">
        <v>670</v>
      </c>
      <c r="B97" s="18" t="s">
        <v>609</v>
      </c>
      <c r="C97" s="18" t="s">
        <v>671</v>
      </c>
      <c r="D97" s="18" t="s">
        <v>672</v>
      </c>
      <c r="E97" s="18" t="s">
        <v>673</v>
      </c>
      <c r="F97" s="18" t="s">
        <v>674</v>
      </c>
      <c r="G97" s="18" t="s">
        <v>157</v>
      </c>
      <c r="H97" s="18" t="s">
        <v>77</v>
      </c>
      <c r="I97" s="18" t="s">
        <v>496</v>
      </c>
      <c r="J97" s="18" t="s">
        <v>225</v>
      </c>
      <c r="K97" s="18" t="s">
        <v>159</v>
      </c>
      <c r="L97" s="19" t="s">
        <v>126</v>
      </c>
      <c r="M97" s="19"/>
      <c r="N97" s="18" t="s">
        <v>82</v>
      </c>
    </row>
    <row r="98" spans="1:14" ht="25.5" hidden="1" customHeight="1" x14ac:dyDescent="0.25">
      <c r="A98" s="18" t="s">
        <v>675</v>
      </c>
      <c r="B98" s="18" t="s">
        <v>609</v>
      </c>
      <c r="C98" s="18" t="s">
        <v>676</v>
      </c>
      <c r="D98" s="18" t="s">
        <v>677</v>
      </c>
      <c r="E98" s="18" t="s">
        <v>678</v>
      </c>
      <c r="F98" s="18" t="s">
        <v>679</v>
      </c>
      <c r="G98" s="18" t="s">
        <v>328</v>
      </c>
      <c r="H98" s="18" t="s">
        <v>103</v>
      </c>
      <c r="I98" s="18" t="s">
        <v>199</v>
      </c>
      <c r="J98" s="18" t="s">
        <v>665</v>
      </c>
      <c r="K98" s="18" t="s">
        <v>166</v>
      </c>
      <c r="L98" s="19" t="s">
        <v>126</v>
      </c>
      <c r="M98" s="19"/>
      <c r="N98" s="18" t="s">
        <v>102</v>
      </c>
    </row>
    <row r="99" spans="1:14" ht="25.5" hidden="1" customHeight="1" x14ac:dyDescent="0.25">
      <c r="A99" s="18" t="s">
        <v>680</v>
      </c>
      <c r="B99" s="18" t="s">
        <v>609</v>
      </c>
      <c r="C99" s="18" t="s">
        <v>681</v>
      </c>
      <c r="D99" s="18" t="s">
        <v>682</v>
      </c>
      <c r="E99" s="18" t="s">
        <v>683</v>
      </c>
      <c r="F99" s="18" t="s">
        <v>684</v>
      </c>
      <c r="G99" s="18" t="s">
        <v>157</v>
      </c>
      <c r="H99" s="18" t="s">
        <v>77</v>
      </c>
      <c r="I99" s="18" t="s">
        <v>475</v>
      </c>
      <c r="J99" s="18" t="s">
        <v>608</v>
      </c>
      <c r="K99" s="18" t="s">
        <v>159</v>
      </c>
      <c r="L99" s="19" t="s">
        <v>126</v>
      </c>
      <c r="M99" s="19"/>
      <c r="N99" s="18" t="s">
        <v>82</v>
      </c>
    </row>
    <row r="100" spans="1:14" ht="25.5" hidden="1" x14ac:dyDescent="0.25">
      <c r="A100" s="18" t="s">
        <v>685</v>
      </c>
      <c r="B100" s="18" t="s">
        <v>609</v>
      </c>
      <c r="C100" s="18" t="s">
        <v>686</v>
      </c>
      <c r="D100" s="18" t="s">
        <v>687</v>
      </c>
      <c r="E100" s="18" t="s">
        <v>688</v>
      </c>
      <c r="F100" s="18" t="s">
        <v>689</v>
      </c>
      <c r="G100" s="18" t="s">
        <v>157</v>
      </c>
      <c r="H100" s="18" t="s">
        <v>41</v>
      </c>
      <c r="I100" s="18" t="s">
        <v>690</v>
      </c>
      <c r="J100" s="18" t="s">
        <v>288</v>
      </c>
      <c r="K100" s="18" t="s">
        <v>159</v>
      </c>
      <c r="L100" s="19" t="s">
        <v>126</v>
      </c>
      <c r="M100" s="19"/>
      <c r="N100" s="18" t="s">
        <v>56</v>
      </c>
    </row>
    <row r="101" spans="1:14" ht="25.5" x14ac:dyDescent="0.25">
      <c r="A101" s="18" t="s">
        <v>691</v>
      </c>
      <c r="B101" s="18" t="s">
        <v>609</v>
      </c>
      <c r="C101" s="18" t="s">
        <v>692</v>
      </c>
      <c r="D101" s="18" t="s">
        <v>693</v>
      </c>
      <c r="E101" s="18" t="s">
        <v>694</v>
      </c>
      <c r="F101" s="18" t="s">
        <v>695</v>
      </c>
      <c r="G101" s="18" t="s">
        <v>157</v>
      </c>
      <c r="H101" s="18" t="s">
        <v>10</v>
      </c>
      <c r="I101" s="18" t="s">
        <v>188</v>
      </c>
      <c r="J101" s="18" t="s">
        <v>696</v>
      </c>
      <c r="K101" s="18" t="s">
        <v>159</v>
      </c>
      <c r="L101" s="19" t="s">
        <v>126</v>
      </c>
      <c r="M101" s="19"/>
      <c r="N101" s="18" t="s">
        <v>30</v>
      </c>
    </row>
    <row r="102" spans="1:14" ht="25.5" customHeight="1" x14ac:dyDescent="0.25">
      <c r="A102" s="18" t="s">
        <v>697</v>
      </c>
      <c r="B102" s="18" t="s">
        <v>698</v>
      </c>
      <c r="C102" s="18" t="s">
        <v>699</v>
      </c>
      <c r="D102" s="18" t="s">
        <v>700</v>
      </c>
      <c r="E102" s="18" t="s">
        <v>701</v>
      </c>
      <c r="F102" s="18" t="s">
        <v>702</v>
      </c>
      <c r="G102" s="18" t="s">
        <v>157</v>
      </c>
      <c r="H102" s="18" t="s">
        <v>10</v>
      </c>
      <c r="I102" s="18" t="s">
        <v>188</v>
      </c>
      <c r="J102" s="18" t="s">
        <v>508</v>
      </c>
      <c r="K102" s="18" t="s">
        <v>166</v>
      </c>
      <c r="L102" s="19" t="s">
        <v>126</v>
      </c>
      <c r="M102" s="19"/>
      <c r="N102" s="18" t="s">
        <v>25</v>
      </c>
    </row>
    <row r="103" spans="1:14" ht="25.5" customHeight="1" x14ac:dyDescent="0.25">
      <c r="A103" s="18" t="s">
        <v>703</v>
      </c>
      <c r="B103" s="18" t="s">
        <v>698</v>
      </c>
      <c r="C103" s="18" t="s">
        <v>704</v>
      </c>
      <c r="D103" s="18" t="s">
        <v>705</v>
      </c>
      <c r="E103" s="18" t="s">
        <v>706</v>
      </c>
      <c r="F103" s="18" t="s">
        <v>707</v>
      </c>
      <c r="G103" s="18" t="s">
        <v>157</v>
      </c>
      <c r="H103" s="18" t="s">
        <v>10</v>
      </c>
      <c r="I103" s="18" t="s">
        <v>188</v>
      </c>
      <c r="J103" s="18" t="s">
        <v>602</v>
      </c>
      <c r="K103" s="18" t="s">
        <v>182</v>
      </c>
      <c r="L103" s="19" t="s">
        <v>126</v>
      </c>
      <c r="M103" s="19"/>
      <c r="N103" s="18" t="s">
        <v>25</v>
      </c>
    </row>
    <row r="104" spans="1:14" ht="25.5" customHeight="1" x14ac:dyDescent="0.25">
      <c r="A104" s="18" t="s">
        <v>708</v>
      </c>
      <c r="B104" s="18" t="s">
        <v>698</v>
      </c>
      <c r="C104" s="18" t="s">
        <v>709</v>
      </c>
      <c r="D104" s="18" t="s">
        <v>710</v>
      </c>
      <c r="E104" s="18" t="s">
        <v>711</v>
      </c>
      <c r="F104" s="18" t="s">
        <v>712</v>
      </c>
      <c r="G104" s="18" t="s">
        <v>157</v>
      </c>
      <c r="H104" s="18" t="s">
        <v>10</v>
      </c>
      <c r="I104" s="18" t="s">
        <v>188</v>
      </c>
      <c r="J104" s="18" t="s">
        <v>713</v>
      </c>
      <c r="K104" s="18" t="s">
        <v>182</v>
      </c>
      <c r="L104" s="19" t="s">
        <v>126</v>
      </c>
      <c r="M104" s="19"/>
      <c r="N104" s="18" t="s">
        <v>25</v>
      </c>
    </row>
    <row r="105" spans="1:14" ht="25.5" hidden="1" customHeight="1" x14ac:dyDescent="0.25">
      <c r="A105" s="18" t="s">
        <v>714</v>
      </c>
      <c r="B105" s="18" t="s">
        <v>698</v>
      </c>
      <c r="C105" s="18" t="s">
        <v>715</v>
      </c>
      <c r="D105" s="18" t="s">
        <v>716</v>
      </c>
      <c r="E105" s="18" t="s">
        <v>717</v>
      </c>
      <c r="F105" s="18" t="s">
        <v>718</v>
      </c>
      <c r="G105" s="18" t="s">
        <v>157</v>
      </c>
      <c r="H105" s="18" t="s">
        <v>103</v>
      </c>
      <c r="I105" s="18" t="s">
        <v>188</v>
      </c>
      <c r="J105" s="18" t="s">
        <v>631</v>
      </c>
      <c r="K105" s="18" t="s">
        <v>166</v>
      </c>
      <c r="L105" s="19" t="s">
        <v>126</v>
      </c>
      <c r="M105" s="19"/>
      <c r="N105" s="18" t="s">
        <v>102</v>
      </c>
    </row>
    <row r="106" spans="1:14" ht="38.25" hidden="1" customHeight="1" x14ac:dyDescent="0.25">
      <c r="A106" s="18" t="s">
        <v>719</v>
      </c>
      <c r="B106" s="18" t="s">
        <v>698</v>
      </c>
      <c r="C106" s="18" t="s">
        <v>720</v>
      </c>
      <c r="D106" s="18" t="s">
        <v>721</v>
      </c>
      <c r="E106" s="18" t="s">
        <v>722</v>
      </c>
      <c r="F106" s="18" t="s">
        <v>723</v>
      </c>
      <c r="G106" s="18" t="s">
        <v>157</v>
      </c>
      <c r="H106" s="18" t="s">
        <v>77</v>
      </c>
      <c r="I106" s="18" t="s">
        <v>188</v>
      </c>
      <c r="J106" s="18" t="s">
        <v>691</v>
      </c>
      <c r="K106" s="18" t="s">
        <v>182</v>
      </c>
      <c r="L106" s="19" t="s">
        <v>126</v>
      </c>
      <c r="M106" s="19"/>
      <c r="N106" s="18" t="s">
        <v>87</v>
      </c>
    </row>
    <row r="107" spans="1:14" ht="25.5" hidden="1" customHeight="1" x14ac:dyDescent="0.25">
      <c r="A107" s="18" t="s">
        <v>724</v>
      </c>
      <c r="B107" s="18" t="s">
        <v>698</v>
      </c>
      <c r="C107" s="18" t="s">
        <v>725</v>
      </c>
      <c r="D107" s="18" t="s">
        <v>726</v>
      </c>
      <c r="E107" s="18" t="s">
        <v>727</v>
      </c>
      <c r="F107" s="18" t="s">
        <v>728</v>
      </c>
      <c r="G107" s="18" t="s">
        <v>157</v>
      </c>
      <c r="H107" s="18" t="s">
        <v>77</v>
      </c>
      <c r="I107" s="18" t="s">
        <v>321</v>
      </c>
      <c r="J107" s="18" t="s">
        <v>703</v>
      </c>
      <c r="K107" s="18" t="s">
        <v>166</v>
      </c>
      <c r="L107" s="19" t="s">
        <v>126</v>
      </c>
      <c r="M107" s="19"/>
      <c r="N107" s="18" t="s">
        <v>87</v>
      </c>
    </row>
    <row r="108" spans="1:14" ht="25.5" hidden="1" customHeight="1" x14ac:dyDescent="0.25">
      <c r="A108" s="18" t="s">
        <v>729</v>
      </c>
      <c r="B108" s="18" t="s">
        <v>698</v>
      </c>
      <c r="C108" s="18" t="s">
        <v>730</v>
      </c>
      <c r="D108" s="18" t="s">
        <v>731</v>
      </c>
      <c r="E108" s="18" t="s">
        <v>732</v>
      </c>
      <c r="F108" s="18" t="s">
        <v>733</v>
      </c>
      <c r="G108" s="18" t="s">
        <v>157</v>
      </c>
      <c r="H108" s="18" t="s">
        <v>41</v>
      </c>
      <c r="I108" s="18" t="s">
        <v>188</v>
      </c>
      <c r="J108" s="18" t="s">
        <v>537</v>
      </c>
      <c r="K108" s="18" t="s">
        <v>166</v>
      </c>
      <c r="L108" s="19" t="s">
        <v>126</v>
      </c>
      <c r="M108" s="19"/>
      <c r="N108" s="18" t="s">
        <v>40</v>
      </c>
    </row>
    <row r="109" spans="1:14" ht="25.5" hidden="1" customHeight="1" x14ac:dyDescent="0.25">
      <c r="A109" s="18" t="s">
        <v>734</v>
      </c>
      <c r="B109" s="18" t="s">
        <v>735</v>
      </c>
      <c r="C109" s="18" t="s">
        <v>736</v>
      </c>
      <c r="D109" s="18" t="s">
        <v>737</v>
      </c>
      <c r="E109" s="18" t="s">
        <v>738</v>
      </c>
      <c r="F109" s="18" t="s">
        <v>739</v>
      </c>
      <c r="G109" s="18" t="s">
        <v>393</v>
      </c>
      <c r="H109" s="18" t="s">
        <v>41</v>
      </c>
      <c r="I109" s="18" t="s">
        <v>475</v>
      </c>
      <c r="J109" s="18" t="s">
        <v>691</v>
      </c>
      <c r="K109" s="18" t="s">
        <v>166</v>
      </c>
      <c r="L109" s="19" t="s">
        <v>126</v>
      </c>
      <c r="M109" s="19"/>
      <c r="N109" s="18" t="s">
        <v>61</v>
      </c>
    </row>
    <row r="110" spans="1:14" ht="25.5" hidden="1" x14ac:dyDescent="0.25">
      <c r="A110" s="18" t="s">
        <v>740</v>
      </c>
      <c r="B110" s="18" t="s">
        <v>735</v>
      </c>
      <c r="C110" s="18" t="s">
        <v>741</v>
      </c>
      <c r="D110" s="18" t="s">
        <v>742</v>
      </c>
      <c r="E110" s="18" t="s">
        <v>743</v>
      </c>
      <c r="F110" s="18" t="s">
        <v>744</v>
      </c>
      <c r="G110" s="18" t="s">
        <v>393</v>
      </c>
      <c r="H110" s="18" t="s">
        <v>41</v>
      </c>
      <c r="I110" s="18" t="s">
        <v>475</v>
      </c>
      <c r="J110" s="18" t="s">
        <v>734</v>
      </c>
      <c r="K110" s="18" t="s">
        <v>166</v>
      </c>
      <c r="L110" s="19" t="s">
        <v>126</v>
      </c>
      <c r="M110" s="19"/>
      <c r="N110" s="18" t="s">
        <v>61</v>
      </c>
    </row>
    <row r="111" spans="1:14" ht="25.5" hidden="1" x14ac:dyDescent="0.25">
      <c r="A111" s="18" t="s">
        <v>745</v>
      </c>
      <c r="B111" s="18" t="s">
        <v>735</v>
      </c>
      <c r="C111" s="18" t="s">
        <v>746</v>
      </c>
      <c r="D111" s="18" t="s">
        <v>747</v>
      </c>
      <c r="E111" s="18" t="s">
        <v>748</v>
      </c>
      <c r="F111" s="18" t="s">
        <v>749</v>
      </c>
      <c r="G111" s="18" t="s">
        <v>393</v>
      </c>
      <c r="H111" s="18" t="s">
        <v>41</v>
      </c>
      <c r="I111" s="18" t="s">
        <v>475</v>
      </c>
      <c r="J111" s="18" t="s">
        <v>750</v>
      </c>
      <c r="K111" s="18" t="s">
        <v>166</v>
      </c>
      <c r="L111" s="19" t="s">
        <v>126</v>
      </c>
      <c r="M111" s="19"/>
      <c r="N111" s="18" t="s">
        <v>61</v>
      </c>
    </row>
    <row r="112" spans="1:14" ht="38.25" hidden="1" x14ac:dyDescent="0.25">
      <c r="A112" s="18" t="s">
        <v>751</v>
      </c>
      <c r="B112" s="18" t="s">
        <v>735</v>
      </c>
      <c r="C112" s="18" t="s">
        <v>752</v>
      </c>
      <c r="D112" s="18" t="s">
        <v>753</v>
      </c>
      <c r="E112" s="18" t="s">
        <v>754</v>
      </c>
      <c r="F112" s="18" t="s">
        <v>755</v>
      </c>
      <c r="G112" s="18" t="s">
        <v>393</v>
      </c>
      <c r="H112" s="18" t="s">
        <v>41</v>
      </c>
      <c r="I112" s="18" t="s">
        <v>475</v>
      </c>
      <c r="J112" s="18" t="s">
        <v>756</v>
      </c>
      <c r="K112" s="18" t="s">
        <v>182</v>
      </c>
      <c r="L112" s="19" t="s">
        <v>126</v>
      </c>
      <c r="M112" s="19"/>
      <c r="N112" s="18" t="s">
        <v>61</v>
      </c>
    </row>
    <row r="113" spans="1:14" ht="25.5" hidden="1" customHeight="1" x14ac:dyDescent="0.25">
      <c r="A113" s="18" t="s">
        <v>757</v>
      </c>
      <c r="B113" s="18" t="s">
        <v>735</v>
      </c>
      <c r="C113" s="18" t="s">
        <v>758</v>
      </c>
      <c r="D113" s="18" t="s">
        <v>759</v>
      </c>
      <c r="E113" s="18" t="s">
        <v>760</v>
      </c>
      <c r="F113" s="18" t="s">
        <v>761</v>
      </c>
      <c r="G113" s="18" t="s">
        <v>393</v>
      </c>
      <c r="H113" s="18" t="s">
        <v>41</v>
      </c>
      <c r="I113" s="18" t="s">
        <v>475</v>
      </c>
      <c r="J113" s="18" t="s">
        <v>751</v>
      </c>
      <c r="K113" s="18" t="s">
        <v>159</v>
      </c>
      <c r="L113" s="19" t="s">
        <v>126</v>
      </c>
      <c r="M113" s="19"/>
      <c r="N113" s="18" t="s">
        <v>61</v>
      </c>
    </row>
    <row r="114" spans="1:14" ht="25.5" hidden="1" customHeight="1" x14ac:dyDescent="0.25">
      <c r="A114" s="18" t="s">
        <v>762</v>
      </c>
      <c r="B114" s="18" t="s">
        <v>735</v>
      </c>
      <c r="C114" s="18" t="s">
        <v>763</v>
      </c>
      <c r="D114" s="18" t="s">
        <v>764</v>
      </c>
      <c r="E114" s="18" t="s">
        <v>765</v>
      </c>
      <c r="F114" s="18" t="s">
        <v>766</v>
      </c>
      <c r="G114" s="18" t="s">
        <v>393</v>
      </c>
      <c r="H114" s="18" t="s">
        <v>41</v>
      </c>
      <c r="I114" s="18" t="s">
        <v>629</v>
      </c>
      <c r="J114" s="18" t="s">
        <v>734</v>
      </c>
      <c r="K114" s="18" t="s">
        <v>166</v>
      </c>
      <c r="L114" s="19" t="s">
        <v>126</v>
      </c>
      <c r="M114" s="19"/>
      <c r="N114" s="18" t="s">
        <v>61</v>
      </c>
    </row>
    <row r="115" spans="1:14" ht="25.5" hidden="1" customHeight="1" x14ac:dyDescent="0.25">
      <c r="A115" s="18" t="s">
        <v>767</v>
      </c>
      <c r="B115" s="18" t="s">
        <v>735</v>
      </c>
      <c r="C115" s="18" t="s">
        <v>768</v>
      </c>
      <c r="D115" s="18" t="s">
        <v>769</v>
      </c>
      <c r="E115" s="18" t="s">
        <v>770</v>
      </c>
      <c r="F115" s="18" t="s">
        <v>771</v>
      </c>
      <c r="G115" s="18" t="s">
        <v>393</v>
      </c>
      <c r="H115" s="18" t="s">
        <v>77</v>
      </c>
      <c r="I115" s="18" t="s">
        <v>475</v>
      </c>
      <c r="J115" s="18" t="s">
        <v>751</v>
      </c>
      <c r="K115" s="18" t="s">
        <v>166</v>
      </c>
      <c r="L115" s="19" t="s">
        <v>126</v>
      </c>
      <c r="M115" s="19"/>
      <c r="N115" s="18" t="s">
        <v>92</v>
      </c>
    </row>
    <row r="116" spans="1:14" ht="25.5" hidden="1" customHeight="1" x14ac:dyDescent="0.25">
      <c r="A116" s="18" t="s">
        <v>772</v>
      </c>
      <c r="B116" s="18" t="s">
        <v>735</v>
      </c>
      <c r="C116" s="18" t="s">
        <v>773</v>
      </c>
      <c r="D116" s="18" t="s">
        <v>774</v>
      </c>
      <c r="E116" s="18" t="s">
        <v>775</v>
      </c>
      <c r="F116" s="18" t="s">
        <v>776</v>
      </c>
      <c r="G116" s="18" t="s">
        <v>393</v>
      </c>
      <c r="H116" s="18" t="s">
        <v>77</v>
      </c>
      <c r="I116" s="18" t="s">
        <v>475</v>
      </c>
      <c r="J116" s="18" t="s">
        <v>751</v>
      </c>
      <c r="K116" s="18" t="s">
        <v>159</v>
      </c>
      <c r="L116" s="19" t="s">
        <v>126</v>
      </c>
      <c r="M116" s="19"/>
      <c r="N116" s="18" t="s">
        <v>92</v>
      </c>
    </row>
    <row r="117" spans="1:14" ht="25.5" hidden="1" customHeight="1" x14ac:dyDescent="0.25">
      <c r="A117" s="18" t="s">
        <v>777</v>
      </c>
      <c r="B117" s="18" t="s">
        <v>735</v>
      </c>
      <c r="C117" s="18" t="s">
        <v>778</v>
      </c>
      <c r="D117" s="18" t="s">
        <v>779</v>
      </c>
      <c r="E117" s="18" t="s">
        <v>780</v>
      </c>
      <c r="F117" s="18" t="s">
        <v>781</v>
      </c>
      <c r="G117" s="18" t="s">
        <v>393</v>
      </c>
      <c r="H117" s="18" t="s">
        <v>77</v>
      </c>
      <c r="I117" s="18" t="s">
        <v>475</v>
      </c>
      <c r="J117" s="18" t="s">
        <v>740</v>
      </c>
      <c r="K117" s="18" t="s">
        <v>159</v>
      </c>
      <c r="L117" s="19" t="s">
        <v>126</v>
      </c>
      <c r="M117" s="19"/>
      <c r="N117" s="18" t="s">
        <v>92</v>
      </c>
    </row>
    <row r="118" spans="1:14" ht="25.5" hidden="1" customHeight="1" x14ac:dyDescent="0.25">
      <c r="A118" s="18" t="s">
        <v>782</v>
      </c>
      <c r="B118" s="18" t="s">
        <v>735</v>
      </c>
      <c r="C118" s="18" t="s">
        <v>783</v>
      </c>
      <c r="D118" s="18" t="s">
        <v>784</v>
      </c>
      <c r="E118" s="18" t="s">
        <v>785</v>
      </c>
      <c r="F118" s="18" t="s">
        <v>695</v>
      </c>
      <c r="G118" s="18" t="s">
        <v>393</v>
      </c>
      <c r="H118" s="18" t="s">
        <v>41</v>
      </c>
      <c r="I118" s="18" t="s">
        <v>188</v>
      </c>
      <c r="J118" s="18" t="s">
        <v>751</v>
      </c>
      <c r="K118" s="18" t="s">
        <v>159</v>
      </c>
      <c r="L118" s="19" t="s">
        <v>126</v>
      </c>
      <c r="M118" s="19"/>
      <c r="N118" s="18" t="s">
        <v>61</v>
      </c>
    </row>
    <row r="119" spans="1:14" ht="25.5" hidden="1" customHeight="1" x14ac:dyDescent="0.25">
      <c r="A119" s="18" t="s">
        <v>786</v>
      </c>
      <c r="B119" s="18" t="s">
        <v>787</v>
      </c>
      <c r="C119" s="18" t="s">
        <v>788</v>
      </c>
      <c r="D119" s="18" t="s">
        <v>789</v>
      </c>
      <c r="E119" s="18" t="s">
        <v>790</v>
      </c>
      <c r="F119" s="18" t="s">
        <v>791</v>
      </c>
      <c r="G119" s="18" t="s">
        <v>393</v>
      </c>
      <c r="H119" s="18" t="s">
        <v>41</v>
      </c>
      <c r="I119" s="18" t="s">
        <v>199</v>
      </c>
      <c r="J119" s="18" t="s">
        <v>792</v>
      </c>
      <c r="K119" s="18" t="s">
        <v>182</v>
      </c>
      <c r="L119" s="19" t="s">
        <v>126</v>
      </c>
      <c r="M119" s="19"/>
      <c r="N119" s="18" t="s">
        <v>66</v>
      </c>
    </row>
    <row r="120" spans="1:14" ht="25.5" hidden="1" customHeight="1" x14ac:dyDescent="0.25">
      <c r="A120" s="18" t="s">
        <v>793</v>
      </c>
      <c r="B120" s="18" t="s">
        <v>787</v>
      </c>
      <c r="C120" s="18" t="s">
        <v>794</v>
      </c>
      <c r="D120" s="18" t="s">
        <v>795</v>
      </c>
      <c r="E120" s="18" t="s">
        <v>796</v>
      </c>
      <c r="F120" s="18" t="s">
        <v>797</v>
      </c>
      <c r="G120" s="18" t="s">
        <v>393</v>
      </c>
      <c r="H120" s="18" t="s">
        <v>41</v>
      </c>
      <c r="I120" s="18" t="s">
        <v>199</v>
      </c>
      <c r="J120" s="18" t="s">
        <v>786</v>
      </c>
      <c r="K120" s="18" t="s">
        <v>166</v>
      </c>
      <c r="L120" s="19" t="s">
        <v>126</v>
      </c>
      <c r="M120" s="19"/>
      <c r="N120" s="18" t="s">
        <v>66</v>
      </c>
    </row>
    <row r="121" spans="1:14" ht="25.5" hidden="1" customHeight="1" x14ac:dyDescent="0.25">
      <c r="A121" s="18" t="s">
        <v>798</v>
      </c>
      <c r="B121" s="18" t="s">
        <v>787</v>
      </c>
      <c r="C121" s="18" t="s">
        <v>799</v>
      </c>
      <c r="D121" s="18" t="s">
        <v>800</v>
      </c>
      <c r="E121" s="18" t="s">
        <v>801</v>
      </c>
      <c r="F121" s="18" t="s">
        <v>802</v>
      </c>
      <c r="G121" s="18" t="s">
        <v>393</v>
      </c>
      <c r="H121" s="18" t="s">
        <v>41</v>
      </c>
      <c r="I121" s="18" t="s">
        <v>475</v>
      </c>
      <c r="J121" s="18" t="s">
        <v>786</v>
      </c>
      <c r="K121" s="18" t="s">
        <v>182</v>
      </c>
      <c r="L121" s="19" t="s">
        <v>126</v>
      </c>
      <c r="M121" s="19"/>
      <c r="N121" s="18" t="s">
        <v>66</v>
      </c>
    </row>
    <row r="122" spans="1:14" ht="25.5" hidden="1" customHeight="1" x14ac:dyDescent="0.25">
      <c r="A122" s="18" t="s">
        <v>803</v>
      </c>
      <c r="B122" s="18" t="s">
        <v>787</v>
      </c>
      <c r="C122" s="18" t="s">
        <v>804</v>
      </c>
      <c r="D122" s="18" t="s">
        <v>805</v>
      </c>
      <c r="E122" s="18" t="s">
        <v>806</v>
      </c>
      <c r="F122" s="18" t="s">
        <v>807</v>
      </c>
      <c r="G122" s="18" t="s">
        <v>393</v>
      </c>
      <c r="H122" s="18" t="s">
        <v>41</v>
      </c>
      <c r="I122" s="18" t="s">
        <v>475</v>
      </c>
      <c r="J122" s="18" t="s">
        <v>798</v>
      </c>
      <c r="K122" s="18" t="s">
        <v>166</v>
      </c>
      <c r="L122" s="19" t="s">
        <v>126</v>
      </c>
      <c r="M122" s="19"/>
      <c r="N122" s="18" t="s">
        <v>66</v>
      </c>
    </row>
    <row r="123" spans="1:14" ht="25.5" hidden="1" x14ac:dyDescent="0.25">
      <c r="A123" s="18" t="s">
        <v>808</v>
      </c>
      <c r="B123" s="18" t="s">
        <v>787</v>
      </c>
      <c r="C123" s="18" t="s">
        <v>809</v>
      </c>
      <c r="D123" s="18" t="s">
        <v>810</v>
      </c>
      <c r="E123" s="18" t="s">
        <v>811</v>
      </c>
      <c r="F123" s="18" t="s">
        <v>812</v>
      </c>
      <c r="G123" s="18" t="s">
        <v>393</v>
      </c>
      <c r="H123" s="18" t="s">
        <v>41</v>
      </c>
      <c r="I123" s="18" t="s">
        <v>496</v>
      </c>
      <c r="J123" s="18" t="s">
        <v>786</v>
      </c>
      <c r="K123" s="18" t="s">
        <v>166</v>
      </c>
      <c r="L123" s="19" t="s">
        <v>126</v>
      </c>
      <c r="M123" s="19"/>
      <c r="N123" s="18" t="s">
        <v>66</v>
      </c>
    </row>
    <row r="124" spans="1:14" ht="38.25" hidden="1" customHeight="1" x14ac:dyDescent="0.25">
      <c r="A124" s="18" t="s">
        <v>813</v>
      </c>
      <c r="B124" s="18" t="s">
        <v>787</v>
      </c>
      <c r="C124" s="18" t="s">
        <v>814</v>
      </c>
      <c r="D124" s="18" t="s">
        <v>815</v>
      </c>
      <c r="E124" s="18" t="s">
        <v>816</v>
      </c>
      <c r="F124" s="18" t="s">
        <v>817</v>
      </c>
      <c r="G124" s="18" t="s">
        <v>393</v>
      </c>
      <c r="H124" s="18" t="s">
        <v>77</v>
      </c>
      <c r="I124" s="18" t="s">
        <v>199</v>
      </c>
      <c r="J124" s="18" t="s">
        <v>786</v>
      </c>
      <c r="K124" s="18" t="s">
        <v>159</v>
      </c>
      <c r="L124" s="19" t="s">
        <v>126</v>
      </c>
      <c r="M124" s="19"/>
      <c r="N124" s="18" t="s">
        <v>92</v>
      </c>
    </row>
    <row r="125" spans="1:14" ht="25.5" hidden="1" customHeight="1" x14ac:dyDescent="0.25">
      <c r="A125" s="18" t="s">
        <v>818</v>
      </c>
      <c r="B125" s="18" t="s">
        <v>787</v>
      </c>
      <c r="C125" s="18" t="s">
        <v>819</v>
      </c>
      <c r="D125" s="18" t="s">
        <v>820</v>
      </c>
      <c r="E125" s="18" t="s">
        <v>821</v>
      </c>
      <c r="F125" s="18" t="s">
        <v>822</v>
      </c>
      <c r="G125" s="18" t="s">
        <v>393</v>
      </c>
      <c r="H125" s="18" t="s">
        <v>41</v>
      </c>
      <c r="I125" s="18" t="s">
        <v>199</v>
      </c>
      <c r="J125" s="18" t="s">
        <v>786</v>
      </c>
      <c r="K125" s="18" t="s">
        <v>166</v>
      </c>
      <c r="L125" s="19" t="s">
        <v>126</v>
      </c>
      <c r="M125" s="19"/>
      <c r="N125" s="18" t="s">
        <v>66</v>
      </c>
    </row>
    <row r="126" spans="1:14" ht="38.25" hidden="1" customHeight="1" x14ac:dyDescent="0.25">
      <c r="A126" s="18" t="s">
        <v>823</v>
      </c>
      <c r="B126" s="18" t="s">
        <v>787</v>
      </c>
      <c r="C126" s="18" t="s">
        <v>824</v>
      </c>
      <c r="D126" s="18" t="s">
        <v>825</v>
      </c>
      <c r="E126" s="18" t="s">
        <v>826</v>
      </c>
      <c r="F126" s="18" t="s">
        <v>827</v>
      </c>
      <c r="G126" s="18" t="s">
        <v>393</v>
      </c>
      <c r="H126" s="18" t="s">
        <v>77</v>
      </c>
      <c r="I126" s="18" t="s">
        <v>496</v>
      </c>
      <c r="J126" s="18" t="s">
        <v>798</v>
      </c>
      <c r="K126" s="18" t="s">
        <v>166</v>
      </c>
      <c r="L126" s="19" t="s">
        <v>126</v>
      </c>
      <c r="M126" s="19"/>
      <c r="N126" s="18" t="s">
        <v>92</v>
      </c>
    </row>
    <row r="127" spans="1:14" ht="25.5" hidden="1" customHeight="1" x14ac:dyDescent="0.25">
      <c r="A127" s="18" t="s">
        <v>828</v>
      </c>
      <c r="B127" s="18" t="s">
        <v>787</v>
      </c>
      <c r="C127" s="18" t="s">
        <v>829</v>
      </c>
      <c r="D127" s="18" t="s">
        <v>830</v>
      </c>
      <c r="E127" s="18" t="s">
        <v>831</v>
      </c>
      <c r="F127" s="18" t="s">
        <v>832</v>
      </c>
      <c r="G127" s="18" t="s">
        <v>393</v>
      </c>
      <c r="H127" s="18" t="s">
        <v>77</v>
      </c>
      <c r="I127" s="18" t="s">
        <v>199</v>
      </c>
      <c r="J127" s="18" t="s">
        <v>388</v>
      </c>
      <c r="K127" s="18" t="s">
        <v>166</v>
      </c>
      <c r="L127" s="19" t="s">
        <v>126</v>
      </c>
      <c r="M127" s="19"/>
      <c r="N127" s="18" t="s">
        <v>92</v>
      </c>
    </row>
    <row r="128" spans="1:14" ht="25.5" hidden="1" customHeight="1" x14ac:dyDescent="0.25">
      <c r="A128" s="18" t="s">
        <v>833</v>
      </c>
      <c r="B128" s="18" t="s">
        <v>787</v>
      </c>
      <c r="C128" s="18" t="s">
        <v>834</v>
      </c>
      <c r="D128" s="18" t="s">
        <v>835</v>
      </c>
      <c r="E128" s="18" t="s">
        <v>836</v>
      </c>
      <c r="F128" s="18" t="s">
        <v>837</v>
      </c>
      <c r="G128" s="18" t="s">
        <v>393</v>
      </c>
      <c r="H128" s="18" t="s">
        <v>41</v>
      </c>
      <c r="I128" s="18" t="s">
        <v>188</v>
      </c>
      <c r="J128" s="18" t="s">
        <v>838</v>
      </c>
      <c r="K128" s="18" t="s">
        <v>182</v>
      </c>
      <c r="L128" s="19" t="s">
        <v>126</v>
      </c>
      <c r="M128" s="19"/>
      <c r="N128" s="18" t="s">
        <v>66</v>
      </c>
    </row>
    <row r="129" spans="1:14" hidden="1" x14ac:dyDescent="0.25">
      <c r="A129" s="18" t="s">
        <v>839</v>
      </c>
      <c r="B129" s="18" t="s">
        <v>787</v>
      </c>
      <c r="C129" s="18" t="s">
        <v>840</v>
      </c>
      <c r="D129" s="18" t="s">
        <v>841</v>
      </c>
      <c r="E129" s="18" t="s">
        <v>842</v>
      </c>
      <c r="F129" s="18" t="s">
        <v>843</v>
      </c>
      <c r="G129" s="18" t="s">
        <v>334</v>
      </c>
      <c r="H129" s="18" t="s">
        <v>109</v>
      </c>
      <c r="I129" s="18" t="s">
        <v>496</v>
      </c>
      <c r="J129" s="18" t="s">
        <v>833</v>
      </c>
      <c r="K129" s="18" t="s">
        <v>182</v>
      </c>
      <c r="L129" s="19" t="s">
        <v>126</v>
      </c>
      <c r="M129" s="19"/>
      <c r="N129" s="18" t="s">
        <v>108</v>
      </c>
    </row>
    <row r="130" spans="1:14" ht="25.5" hidden="1" customHeight="1" x14ac:dyDescent="0.25">
      <c r="A130" s="18" t="s">
        <v>844</v>
      </c>
      <c r="B130" s="18" t="s">
        <v>845</v>
      </c>
      <c r="C130" s="18" t="s">
        <v>846</v>
      </c>
      <c r="D130" s="18" t="s">
        <v>847</v>
      </c>
      <c r="E130" s="18" t="s">
        <v>848</v>
      </c>
      <c r="F130" s="18" t="s">
        <v>849</v>
      </c>
      <c r="G130" s="18" t="s">
        <v>328</v>
      </c>
      <c r="H130" s="18" t="s">
        <v>41</v>
      </c>
      <c r="I130" s="18" t="s">
        <v>496</v>
      </c>
      <c r="J130" s="18" t="s">
        <v>261</v>
      </c>
      <c r="K130" s="18" t="s">
        <v>166</v>
      </c>
      <c r="L130" s="19" t="s">
        <v>126</v>
      </c>
      <c r="M130" s="19"/>
      <c r="N130" s="18" t="s">
        <v>71</v>
      </c>
    </row>
    <row r="131" spans="1:14" ht="25.5" hidden="1" customHeight="1" x14ac:dyDescent="0.25">
      <c r="A131" s="18" t="s">
        <v>850</v>
      </c>
      <c r="B131" s="18" t="s">
        <v>845</v>
      </c>
      <c r="C131" s="18" t="s">
        <v>851</v>
      </c>
      <c r="D131" s="18" t="s">
        <v>852</v>
      </c>
      <c r="E131" s="18" t="s">
        <v>853</v>
      </c>
      <c r="F131" s="18" t="s">
        <v>854</v>
      </c>
      <c r="G131" s="18" t="s">
        <v>328</v>
      </c>
      <c r="H131" s="18" t="s">
        <v>41</v>
      </c>
      <c r="I131" s="18" t="s">
        <v>199</v>
      </c>
      <c r="J131" s="18" t="s">
        <v>261</v>
      </c>
      <c r="K131" s="18" t="s">
        <v>159</v>
      </c>
      <c r="L131" s="19" t="s">
        <v>126</v>
      </c>
      <c r="M131" s="19"/>
      <c r="N131" s="18" t="s">
        <v>71</v>
      </c>
    </row>
    <row r="132" spans="1:14" ht="25.5" hidden="1" customHeight="1" x14ac:dyDescent="0.25">
      <c r="A132" s="18" t="s">
        <v>855</v>
      </c>
      <c r="B132" s="18" t="s">
        <v>845</v>
      </c>
      <c r="C132" s="18" t="s">
        <v>856</v>
      </c>
      <c r="D132" s="18" t="s">
        <v>857</v>
      </c>
      <c r="E132" s="18" t="s">
        <v>858</v>
      </c>
      <c r="F132" s="18" t="s">
        <v>859</v>
      </c>
      <c r="G132" s="18" t="s">
        <v>328</v>
      </c>
      <c r="H132" s="18" t="s">
        <v>77</v>
      </c>
      <c r="I132" s="18" t="s">
        <v>507</v>
      </c>
      <c r="J132" s="18" t="s">
        <v>844</v>
      </c>
      <c r="K132" s="18" t="s">
        <v>182</v>
      </c>
      <c r="L132" s="19" t="s">
        <v>126</v>
      </c>
      <c r="M132" s="19"/>
      <c r="N132" s="18" t="s">
        <v>97</v>
      </c>
    </row>
    <row r="133" spans="1:14" ht="25.5" hidden="1" customHeight="1" x14ac:dyDescent="0.25">
      <c r="A133" s="18" t="s">
        <v>860</v>
      </c>
      <c r="B133" s="18" t="s">
        <v>845</v>
      </c>
      <c r="C133" s="18" t="s">
        <v>861</v>
      </c>
      <c r="D133" s="18" t="s">
        <v>862</v>
      </c>
      <c r="E133" s="18" t="s">
        <v>863</v>
      </c>
      <c r="F133" s="18" t="s">
        <v>864</v>
      </c>
      <c r="G133" s="18" t="s">
        <v>328</v>
      </c>
      <c r="H133" s="18" t="s">
        <v>77</v>
      </c>
      <c r="I133" s="18" t="s">
        <v>199</v>
      </c>
      <c r="J133" s="18" t="s">
        <v>855</v>
      </c>
      <c r="K133" s="18" t="s">
        <v>166</v>
      </c>
      <c r="L133" s="19" t="s">
        <v>126</v>
      </c>
      <c r="M133" s="19"/>
      <c r="N133" s="18" t="s">
        <v>97</v>
      </c>
    </row>
    <row r="134" spans="1:14" ht="25.5" hidden="1" customHeight="1" x14ac:dyDescent="0.25">
      <c r="A134" s="18" t="s">
        <v>865</v>
      </c>
      <c r="B134" s="18" t="s">
        <v>845</v>
      </c>
      <c r="C134" s="18" t="s">
        <v>866</v>
      </c>
      <c r="D134" s="18" t="s">
        <v>867</v>
      </c>
      <c r="E134" s="18" t="s">
        <v>868</v>
      </c>
      <c r="F134" s="18" t="s">
        <v>869</v>
      </c>
      <c r="G134" s="18" t="s">
        <v>334</v>
      </c>
      <c r="H134" s="18" t="s">
        <v>103</v>
      </c>
      <c r="I134" s="18" t="s">
        <v>199</v>
      </c>
      <c r="J134" s="18" t="s">
        <v>860</v>
      </c>
      <c r="K134" s="18" t="s">
        <v>182</v>
      </c>
      <c r="L134" s="19" t="s">
        <v>126</v>
      </c>
      <c r="M134" s="19"/>
      <c r="N134" s="18" t="s">
        <v>102</v>
      </c>
    </row>
    <row r="135" spans="1:14" ht="25.5" hidden="1" customHeight="1" x14ac:dyDescent="0.25">
      <c r="A135" s="18" t="s">
        <v>870</v>
      </c>
      <c r="B135" s="18" t="s">
        <v>845</v>
      </c>
      <c r="C135" s="18" t="s">
        <v>871</v>
      </c>
      <c r="D135" s="18" t="s">
        <v>872</v>
      </c>
      <c r="E135" s="18" t="s">
        <v>873</v>
      </c>
      <c r="F135" s="18" t="s">
        <v>874</v>
      </c>
      <c r="G135" s="18" t="s">
        <v>328</v>
      </c>
      <c r="H135" s="18" t="s">
        <v>77</v>
      </c>
      <c r="I135" s="18" t="s">
        <v>475</v>
      </c>
      <c r="J135" s="18" t="s">
        <v>844</v>
      </c>
      <c r="K135" s="18" t="s">
        <v>166</v>
      </c>
      <c r="L135" s="19" t="s">
        <v>126</v>
      </c>
      <c r="M135" s="19"/>
      <c r="N135" s="18" t="s">
        <v>97</v>
      </c>
    </row>
    <row r="136" spans="1:14" ht="25.5" hidden="1" x14ac:dyDescent="0.25">
      <c r="A136" s="18" t="s">
        <v>875</v>
      </c>
      <c r="B136" s="18" t="s">
        <v>845</v>
      </c>
      <c r="C136" s="18" t="s">
        <v>876</v>
      </c>
      <c r="D136" s="18" t="s">
        <v>877</v>
      </c>
      <c r="E136" s="18" t="s">
        <v>878</v>
      </c>
      <c r="F136" s="18" t="s">
        <v>879</v>
      </c>
      <c r="G136" s="18" t="s">
        <v>328</v>
      </c>
      <c r="H136" s="18" t="s">
        <v>77</v>
      </c>
      <c r="I136" s="18" t="s">
        <v>321</v>
      </c>
      <c r="J136" s="18" t="s">
        <v>278</v>
      </c>
      <c r="K136" s="18" t="s">
        <v>166</v>
      </c>
      <c r="L136" s="19" t="s">
        <v>126</v>
      </c>
      <c r="M136" s="19"/>
      <c r="N136" s="18" t="s">
        <v>97</v>
      </c>
    </row>
    <row r="137" spans="1:14" ht="25.5" customHeight="1" x14ac:dyDescent="0.25">
      <c r="A137" s="18" t="s">
        <v>880</v>
      </c>
      <c r="B137" s="18" t="s">
        <v>845</v>
      </c>
      <c r="C137" s="18" t="s">
        <v>881</v>
      </c>
      <c r="D137" s="18" t="s">
        <v>882</v>
      </c>
      <c r="E137" s="18" t="s">
        <v>883</v>
      </c>
      <c r="F137" s="18" t="s">
        <v>884</v>
      </c>
      <c r="G137" s="18" t="s">
        <v>157</v>
      </c>
      <c r="H137" s="18" t="s">
        <v>10</v>
      </c>
      <c r="I137" s="18" t="s">
        <v>321</v>
      </c>
      <c r="J137" s="18" t="s">
        <v>345</v>
      </c>
      <c r="K137" s="18" t="s">
        <v>166</v>
      </c>
      <c r="L137" s="19" t="s">
        <v>126</v>
      </c>
      <c r="M137" s="19"/>
      <c r="N137" s="18" t="s">
        <v>35</v>
      </c>
    </row>
    <row r="138" spans="1:14" ht="25.5" hidden="1" customHeight="1" x14ac:dyDescent="0.25">
      <c r="A138" s="18" t="s">
        <v>885</v>
      </c>
      <c r="B138" s="18" t="s">
        <v>845</v>
      </c>
      <c r="C138" s="18" t="s">
        <v>886</v>
      </c>
      <c r="D138" s="18" t="s">
        <v>887</v>
      </c>
      <c r="E138" s="18" t="s">
        <v>888</v>
      </c>
      <c r="F138" s="18" t="s">
        <v>889</v>
      </c>
      <c r="G138" s="18" t="s">
        <v>334</v>
      </c>
      <c r="H138" s="18" t="s">
        <v>109</v>
      </c>
      <c r="I138" s="18" t="s">
        <v>890</v>
      </c>
      <c r="J138" s="18" t="s">
        <v>860</v>
      </c>
      <c r="K138" s="18" t="s">
        <v>166</v>
      </c>
      <c r="L138" s="19" t="s">
        <v>126</v>
      </c>
      <c r="M138" s="19"/>
      <c r="N138" s="18" t="s">
        <v>108</v>
      </c>
    </row>
    <row r="139" spans="1:14" ht="25.5" hidden="1" customHeight="1" x14ac:dyDescent="0.25">
      <c r="A139" s="18" t="s">
        <v>891</v>
      </c>
      <c r="B139" s="18" t="s">
        <v>892</v>
      </c>
      <c r="C139" s="18" t="s">
        <v>893</v>
      </c>
      <c r="D139" s="18" t="s">
        <v>894</v>
      </c>
      <c r="E139" s="18" t="s">
        <v>895</v>
      </c>
      <c r="F139" s="18" t="s">
        <v>896</v>
      </c>
      <c r="G139" s="18" t="s">
        <v>157</v>
      </c>
      <c r="H139" s="18" t="s">
        <v>41</v>
      </c>
      <c r="I139" s="18" t="s">
        <v>890</v>
      </c>
      <c r="J139" s="18" t="s">
        <v>703</v>
      </c>
      <c r="K139" s="18" t="s">
        <v>166</v>
      </c>
      <c r="L139" s="19" t="s">
        <v>126</v>
      </c>
      <c r="M139" s="19"/>
      <c r="N139" s="18" t="s">
        <v>56</v>
      </c>
    </row>
    <row r="140" spans="1:14" ht="25.5" hidden="1" customHeight="1" x14ac:dyDescent="0.25">
      <c r="A140" s="18" t="s">
        <v>897</v>
      </c>
      <c r="B140" s="18" t="s">
        <v>892</v>
      </c>
      <c r="C140" s="18" t="s">
        <v>898</v>
      </c>
      <c r="D140" s="18" t="s">
        <v>899</v>
      </c>
      <c r="E140" s="18" t="s">
        <v>900</v>
      </c>
      <c r="F140" s="18" t="s">
        <v>901</v>
      </c>
      <c r="G140" s="18" t="s">
        <v>157</v>
      </c>
      <c r="H140" s="18" t="s">
        <v>41</v>
      </c>
      <c r="I140" s="18" t="s">
        <v>890</v>
      </c>
      <c r="J140" s="18" t="s">
        <v>891</v>
      </c>
      <c r="K140" s="18" t="s">
        <v>159</v>
      </c>
      <c r="L140" s="19" t="s">
        <v>126</v>
      </c>
      <c r="M140" s="19"/>
      <c r="N140" s="18" t="s">
        <v>56</v>
      </c>
    </row>
    <row r="141" spans="1:14" ht="25.5" hidden="1" customHeight="1" x14ac:dyDescent="0.25">
      <c r="A141" s="18" t="s">
        <v>902</v>
      </c>
      <c r="B141" s="18" t="s">
        <v>892</v>
      </c>
      <c r="C141" s="18" t="s">
        <v>903</v>
      </c>
      <c r="D141" s="18" t="s">
        <v>904</v>
      </c>
      <c r="E141" s="18" t="s">
        <v>905</v>
      </c>
      <c r="F141" s="18" t="s">
        <v>906</v>
      </c>
      <c r="G141" s="18" t="s">
        <v>157</v>
      </c>
      <c r="H141" s="18" t="s">
        <v>103</v>
      </c>
      <c r="I141" s="18" t="s">
        <v>321</v>
      </c>
      <c r="J141" s="18" t="s">
        <v>891</v>
      </c>
      <c r="K141" s="18" t="s">
        <v>159</v>
      </c>
      <c r="L141" s="19" t="s">
        <v>126</v>
      </c>
      <c r="M141" s="19"/>
      <c r="N141" s="18" t="s">
        <v>102</v>
      </c>
    </row>
    <row r="142" spans="1:14" ht="25.5" hidden="1" customHeight="1" x14ac:dyDescent="0.25">
      <c r="A142" s="18" t="s">
        <v>907</v>
      </c>
      <c r="B142" s="18" t="s">
        <v>892</v>
      </c>
      <c r="C142" s="18" t="s">
        <v>908</v>
      </c>
      <c r="D142" s="18" t="s">
        <v>909</v>
      </c>
      <c r="E142" s="18" t="s">
        <v>910</v>
      </c>
      <c r="F142" s="18" t="s">
        <v>911</v>
      </c>
      <c r="G142" s="18" t="s">
        <v>157</v>
      </c>
      <c r="H142" s="18" t="s">
        <v>77</v>
      </c>
      <c r="I142" s="18" t="s">
        <v>199</v>
      </c>
      <c r="J142" s="18" t="s">
        <v>448</v>
      </c>
      <c r="K142" s="18" t="s">
        <v>159</v>
      </c>
      <c r="L142" s="19" t="s">
        <v>126</v>
      </c>
      <c r="M142" s="19"/>
      <c r="N142" s="18" t="s">
        <v>87</v>
      </c>
    </row>
    <row r="143" spans="1:14" ht="25.5" customHeight="1" x14ac:dyDescent="0.25">
      <c r="A143" s="18" t="s">
        <v>912</v>
      </c>
      <c r="B143" s="18" t="s">
        <v>892</v>
      </c>
      <c r="C143" s="18" t="s">
        <v>913</v>
      </c>
      <c r="D143" s="18" t="s">
        <v>914</v>
      </c>
      <c r="E143" s="18" t="s">
        <v>915</v>
      </c>
      <c r="F143" s="18" t="s">
        <v>916</v>
      </c>
      <c r="G143" s="18" t="s">
        <v>157</v>
      </c>
      <c r="H143" s="18" t="s">
        <v>10</v>
      </c>
      <c r="I143" s="18" t="s">
        <v>188</v>
      </c>
      <c r="J143" s="18" t="s">
        <v>691</v>
      </c>
      <c r="K143" s="18" t="s">
        <v>159</v>
      </c>
      <c r="L143" s="19" t="s">
        <v>126</v>
      </c>
      <c r="M143" s="19"/>
      <c r="N143" s="18" t="s">
        <v>35</v>
      </c>
    </row>
    <row r="144" spans="1:14" ht="25.5" hidden="1" customHeight="1" x14ac:dyDescent="0.25">
      <c r="A144" s="18" t="s">
        <v>917</v>
      </c>
      <c r="B144" s="18" t="s">
        <v>892</v>
      </c>
      <c r="C144" s="18" t="s">
        <v>918</v>
      </c>
      <c r="D144" s="18" t="s">
        <v>919</v>
      </c>
      <c r="E144" s="18" t="s">
        <v>920</v>
      </c>
      <c r="F144" s="18" t="s">
        <v>921</v>
      </c>
      <c r="G144" s="18" t="s">
        <v>157</v>
      </c>
      <c r="H144" s="18" t="s">
        <v>103</v>
      </c>
      <c r="I144" s="18" t="s">
        <v>890</v>
      </c>
      <c r="J144" s="18" t="s">
        <v>891</v>
      </c>
      <c r="K144" s="18" t="s">
        <v>159</v>
      </c>
      <c r="L144" s="19" t="s">
        <v>126</v>
      </c>
      <c r="M144" s="19"/>
      <c r="N144" s="18" t="s">
        <v>102</v>
      </c>
    </row>
    <row r="145" spans="1:14" ht="25.5" customHeight="1" x14ac:dyDescent="0.25">
      <c r="A145" s="18" t="s">
        <v>922</v>
      </c>
      <c r="B145" s="18" t="s">
        <v>923</v>
      </c>
      <c r="C145" s="18" t="s">
        <v>924</v>
      </c>
      <c r="D145" s="18" t="s">
        <v>925</v>
      </c>
      <c r="E145" s="18" t="s">
        <v>926</v>
      </c>
      <c r="F145" s="18" t="s">
        <v>927</v>
      </c>
      <c r="G145" s="18" t="s">
        <v>157</v>
      </c>
      <c r="H145" s="18" t="s">
        <v>10</v>
      </c>
      <c r="I145" s="18" t="s">
        <v>321</v>
      </c>
      <c r="J145" s="18" t="s">
        <v>288</v>
      </c>
      <c r="K145" s="18" t="s">
        <v>166</v>
      </c>
      <c r="L145" s="19" t="s">
        <v>126</v>
      </c>
      <c r="M145" s="19"/>
      <c r="N145" s="18" t="s">
        <v>35</v>
      </c>
    </row>
    <row r="146" spans="1:14" ht="25.5" customHeight="1" x14ac:dyDescent="0.25">
      <c r="A146" s="18" t="s">
        <v>315</v>
      </c>
      <c r="B146" s="18" t="s">
        <v>923</v>
      </c>
      <c r="C146" s="18" t="s">
        <v>928</v>
      </c>
      <c r="D146" s="18" t="s">
        <v>929</v>
      </c>
      <c r="E146" s="18" t="s">
        <v>930</v>
      </c>
      <c r="F146" s="18" t="s">
        <v>931</v>
      </c>
      <c r="G146" s="18" t="s">
        <v>157</v>
      </c>
      <c r="H146" s="18" t="s">
        <v>10</v>
      </c>
      <c r="I146" s="18" t="s">
        <v>321</v>
      </c>
      <c r="J146" s="18" t="s">
        <v>922</v>
      </c>
      <c r="K146" s="18" t="s">
        <v>182</v>
      </c>
      <c r="L146" s="19" t="s">
        <v>126</v>
      </c>
      <c r="M146" s="19"/>
      <c r="N146" s="18" t="s">
        <v>35</v>
      </c>
    </row>
    <row r="147" spans="1:14" ht="25.5" x14ac:dyDescent="0.25">
      <c r="A147" s="18" t="s">
        <v>932</v>
      </c>
      <c r="B147" s="18" t="s">
        <v>923</v>
      </c>
      <c r="C147" s="18" t="s">
        <v>933</v>
      </c>
      <c r="D147" s="18" t="s">
        <v>934</v>
      </c>
      <c r="E147" s="18" t="s">
        <v>935</v>
      </c>
      <c r="F147" s="18" t="s">
        <v>936</v>
      </c>
      <c r="G147" s="18" t="s">
        <v>157</v>
      </c>
      <c r="H147" s="18" t="s">
        <v>10</v>
      </c>
      <c r="I147" s="18" t="s">
        <v>321</v>
      </c>
      <c r="J147" s="18" t="s">
        <v>880</v>
      </c>
      <c r="K147" s="18" t="s">
        <v>159</v>
      </c>
      <c r="L147" s="19" t="s">
        <v>126</v>
      </c>
      <c r="M147" s="19"/>
      <c r="N147" s="18" t="s">
        <v>35</v>
      </c>
    </row>
    <row r="148" spans="1:14" ht="25.5" hidden="1" x14ac:dyDescent="0.25">
      <c r="A148" s="18" t="s">
        <v>322</v>
      </c>
      <c r="B148" s="18" t="s">
        <v>923</v>
      </c>
      <c r="C148" s="18" t="s">
        <v>937</v>
      </c>
      <c r="D148" s="18" t="s">
        <v>938</v>
      </c>
      <c r="E148" s="18" t="s">
        <v>939</v>
      </c>
      <c r="F148" s="18" t="s">
        <v>940</v>
      </c>
      <c r="G148" s="18" t="s">
        <v>157</v>
      </c>
      <c r="H148" s="18" t="s">
        <v>41</v>
      </c>
      <c r="I148" s="18" t="s">
        <v>321</v>
      </c>
      <c r="J148" s="18" t="s">
        <v>315</v>
      </c>
      <c r="K148" s="18" t="s">
        <v>159</v>
      </c>
      <c r="L148" s="19" t="s">
        <v>126</v>
      </c>
      <c r="M148" s="19"/>
      <c r="N148" s="18" t="s">
        <v>56</v>
      </c>
    </row>
    <row r="149" spans="1:14" ht="25.5" x14ac:dyDescent="0.25">
      <c r="A149" s="18" t="s">
        <v>941</v>
      </c>
      <c r="B149" s="18" t="s">
        <v>923</v>
      </c>
      <c r="C149" s="18" t="s">
        <v>942</v>
      </c>
      <c r="D149" s="18" t="s">
        <v>943</v>
      </c>
      <c r="E149" s="18" t="s">
        <v>944</v>
      </c>
      <c r="F149" s="18" t="s">
        <v>945</v>
      </c>
      <c r="G149" s="18" t="s">
        <v>157</v>
      </c>
      <c r="H149" s="18" t="s">
        <v>10</v>
      </c>
      <c r="I149" s="18" t="s">
        <v>240</v>
      </c>
      <c r="J149" s="18" t="s">
        <v>912</v>
      </c>
      <c r="K149" s="18" t="s">
        <v>166</v>
      </c>
      <c r="L149" s="19" t="s">
        <v>126</v>
      </c>
      <c r="M149" s="19"/>
      <c r="N149" s="18" t="s">
        <v>35</v>
      </c>
    </row>
    <row r="150" spans="1:14" ht="25.5" hidden="1" x14ac:dyDescent="0.25">
      <c r="A150" s="18" t="s">
        <v>946</v>
      </c>
      <c r="B150" s="18" t="s">
        <v>923</v>
      </c>
      <c r="C150" s="18" t="s">
        <v>947</v>
      </c>
      <c r="D150" s="18" t="s">
        <v>948</v>
      </c>
      <c r="E150" s="18" t="s">
        <v>949</v>
      </c>
      <c r="F150" s="18" t="s">
        <v>950</v>
      </c>
      <c r="G150" s="18" t="s">
        <v>334</v>
      </c>
      <c r="H150" s="18" t="s">
        <v>41</v>
      </c>
      <c r="I150" s="18" t="s">
        <v>240</v>
      </c>
      <c r="J150" s="18" t="s">
        <v>941</v>
      </c>
      <c r="K150" s="18" t="s">
        <v>166</v>
      </c>
      <c r="L150" s="19" t="s">
        <v>126</v>
      </c>
      <c r="M150" s="19"/>
      <c r="N150" s="18" t="s">
        <v>56</v>
      </c>
    </row>
    <row r="151" spans="1:14" ht="25.5" hidden="1" x14ac:dyDescent="0.25">
      <c r="A151" s="18" t="s">
        <v>951</v>
      </c>
      <c r="B151" s="18" t="s">
        <v>923</v>
      </c>
      <c r="C151" s="18" t="s">
        <v>952</v>
      </c>
      <c r="D151" s="18" t="s">
        <v>953</v>
      </c>
      <c r="E151" s="18" t="s">
        <v>954</v>
      </c>
      <c r="F151" s="18" t="s">
        <v>955</v>
      </c>
      <c r="G151" s="18" t="s">
        <v>328</v>
      </c>
      <c r="H151" s="18" t="s">
        <v>103</v>
      </c>
      <c r="I151" s="18" t="s">
        <v>475</v>
      </c>
      <c r="J151" s="18" t="s">
        <v>608</v>
      </c>
      <c r="K151" s="18" t="s">
        <v>166</v>
      </c>
      <c r="L151" s="19" t="s">
        <v>126</v>
      </c>
      <c r="M151" s="19"/>
      <c r="N151" s="18" t="s">
        <v>102</v>
      </c>
    </row>
    <row r="152" spans="1:14" ht="25.5" hidden="1" x14ac:dyDescent="0.25">
      <c r="A152" s="18" t="s">
        <v>956</v>
      </c>
      <c r="B152" s="18" t="s">
        <v>923</v>
      </c>
      <c r="C152" s="18" t="s">
        <v>957</v>
      </c>
      <c r="D152" s="18" t="s">
        <v>958</v>
      </c>
      <c r="E152" s="18" t="s">
        <v>959</v>
      </c>
      <c r="F152" s="18" t="s">
        <v>960</v>
      </c>
      <c r="G152" s="18" t="s">
        <v>328</v>
      </c>
      <c r="H152" s="18" t="s">
        <v>77</v>
      </c>
      <c r="I152" s="18" t="s">
        <v>496</v>
      </c>
      <c r="J152" s="18" t="s">
        <v>587</v>
      </c>
      <c r="K152" s="18" t="s">
        <v>166</v>
      </c>
      <c r="L152" s="19" t="s">
        <v>126</v>
      </c>
      <c r="M152" s="19"/>
      <c r="N152" s="18" t="s">
        <v>97</v>
      </c>
    </row>
  </sheetData>
  <autoFilter ref="A1:N152" xr:uid="{00000000-0009-0000-0000-000002000000}">
    <filterColumn colId="7">
      <filters>
        <filter val="P0 Critical"/>
      </filters>
    </filterColumn>
  </autoFilter>
  <conditionalFormatting sqref="H2:H152">
    <cfRule type="cellIs" dxfId="16" priority="4" operator="equal">
      <formula>"P0 Critical"</formula>
    </cfRule>
    <cfRule type="cellIs" dxfId="15" priority="5" operator="equal">
      <formula>"P1 High"</formula>
    </cfRule>
    <cfRule type="cellIs" dxfId="14" priority="6" operator="equal">
      <formula>"P2 Medium"</formula>
    </cfRule>
    <cfRule type="cellIs" dxfId="13" priority="7" operator="equal">
      <formula>"P3 Normal"</formula>
    </cfRule>
    <cfRule type="cellIs" dxfId="12" priority="8" operator="equal">
      <formula>"P4 Low"</formula>
    </cfRule>
  </conditionalFormatting>
  <conditionalFormatting sqref="L2:L152">
    <cfRule type="cellIs" dxfId="11" priority="1" operator="equal">
      <formula>"Done"</formula>
    </cfRule>
    <cfRule type="cellIs" dxfId="10" priority="2" operator="equal">
      <formula>"In progress"</formula>
    </cfRule>
    <cfRule type="cellIs" dxfId="9" priority="3" operator="equal">
      <formula>"Skipped"</formula>
    </cfRule>
  </conditionalFormatting>
  <dataValidations count="3">
    <dataValidation type="list" sqref="L2:L152" xr:uid="{00000000-0002-0000-0200-000000000000}">
      <formula1>"Pending,In progress,Done,Skipped"</formula1>
    </dataValidation>
    <dataValidation type="list" sqref="G2:G152" xr:uid="{00000000-0002-0000-0200-000001000000}">
      <formula1>"v1.0,v1.1,v1.2,v2.0"</formula1>
    </dataValidation>
    <dataValidation type="list" sqref="H2:H152" xr:uid="{00000000-0002-0000-0200-000002000000}">
      <formula1>"P0 Critical,P1 High,P2 Medium,P3 Normal,P4 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/>
  </sheetViews>
  <sheetFormatPr defaultRowHeight="15" x14ac:dyDescent="0.25"/>
  <cols>
    <col min="1" max="1" width="10" customWidth="1"/>
    <col min="2" max="2" width="28" customWidth="1"/>
    <col min="3" max="3" width="70" customWidth="1"/>
    <col min="4" max="4" width="50" customWidth="1"/>
    <col min="5" max="5" width="9" customWidth="1"/>
    <col min="6" max="6" width="10" customWidth="1"/>
    <col min="7" max="8" width="9" customWidth="1"/>
  </cols>
  <sheetData>
    <row r="1" spans="1:8" x14ac:dyDescent="0.25">
      <c r="A1" s="20" t="s">
        <v>144</v>
      </c>
      <c r="B1" s="20" t="s">
        <v>3</v>
      </c>
      <c r="C1" s="20" t="s">
        <v>961</v>
      </c>
      <c r="D1" s="20" t="s">
        <v>962</v>
      </c>
      <c r="E1" s="20" t="s">
        <v>5</v>
      </c>
      <c r="F1" s="20" t="s">
        <v>963</v>
      </c>
      <c r="G1" s="20" t="s">
        <v>6</v>
      </c>
      <c r="H1" s="20" t="s">
        <v>964</v>
      </c>
    </row>
    <row r="2" spans="1:8" ht="60" customHeight="1" x14ac:dyDescent="0.25">
      <c r="A2" s="18" t="s">
        <v>157</v>
      </c>
      <c r="B2" s="18" t="s">
        <v>965</v>
      </c>
      <c r="C2" s="18" t="s">
        <v>966</v>
      </c>
      <c r="D2" s="18" t="s">
        <v>967</v>
      </c>
      <c r="E2" s="21">
        <f>COUNTIF('Roadmap 6-16'!$G$2:$G$152,A2)</f>
        <v>105</v>
      </c>
      <c r="F2" s="21">
        <f>COUNTIFS('Roadmap 6-16'!$G$2:$G$152,A2,'Roadmap 6-16'!$H$2:$H$152,"P0 Critical")</f>
        <v>63</v>
      </c>
      <c r="G2" s="21">
        <f>COUNTIFS('Roadmap 6-16'!$G$2:$G$152,A2,'Roadmap 6-16'!$L$2:$L$152,"Done")</f>
        <v>19</v>
      </c>
      <c r="H2" s="22">
        <f>IF(E2=0,0,G2/E2)</f>
        <v>0.18095238095238095</v>
      </c>
    </row>
    <row r="3" spans="1:8" ht="60" customHeight="1" x14ac:dyDescent="0.25">
      <c r="A3" s="18" t="s">
        <v>393</v>
      </c>
      <c r="B3" s="18" t="s">
        <v>968</v>
      </c>
      <c r="C3" s="18" t="s">
        <v>969</v>
      </c>
      <c r="D3" s="18" t="s">
        <v>970</v>
      </c>
      <c r="E3" s="21">
        <f>COUNTIF('Roadmap 6-16'!$G$2:$G$152,A3)</f>
        <v>24</v>
      </c>
      <c r="F3" s="21">
        <f>COUNTIFS('Roadmap 6-16'!$G$2:$G$152,A3,'Roadmap 6-16'!$H$2:$H$152,"P0 Critical")</f>
        <v>0</v>
      </c>
      <c r="G3" s="21">
        <f>COUNTIFS('Roadmap 6-16'!$G$2:$G$152,A3,'Roadmap 6-16'!$L$2:$L$152,"Done")</f>
        <v>0</v>
      </c>
      <c r="H3" s="22">
        <f>IF(E3=0,0,G3/E3)</f>
        <v>0</v>
      </c>
    </row>
    <row r="4" spans="1:8" ht="60" customHeight="1" x14ac:dyDescent="0.25">
      <c r="A4" s="18" t="s">
        <v>328</v>
      </c>
      <c r="B4" s="18" t="s">
        <v>98</v>
      </c>
      <c r="C4" s="18" t="s">
        <v>971</v>
      </c>
      <c r="D4" s="18" t="s">
        <v>972</v>
      </c>
      <c r="E4" s="21">
        <f>COUNTIF('Roadmap 6-16'!$G$2:$G$152,A4)</f>
        <v>13</v>
      </c>
      <c r="F4" s="21">
        <f>COUNTIFS('Roadmap 6-16'!$G$2:$G$152,A4,'Roadmap 6-16'!$H$2:$H$152,"P0 Critical")</f>
        <v>0</v>
      </c>
      <c r="G4" s="21">
        <f>COUNTIFS('Roadmap 6-16'!$G$2:$G$152,A4,'Roadmap 6-16'!$L$2:$L$152,"Done")</f>
        <v>0</v>
      </c>
      <c r="H4" s="22">
        <f>IF(E4=0,0,G4/E4)</f>
        <v>0</v>
      </c>
    </row>
    <row r="5" spans="1:8" ht="60" customHeight="1" x14ac:dyDescent="0.25">
      <c r="A5" s="18" t="s">
        <v>334</v>
      </c>
      <c r="B5" s="18" t="s">
        <v>973</v>
      </c>
      <c r="C5" s="18" t="s">
        <v>974</v>
      </c>
      <c r="D5" s="18" t="s">
        <v>975</v>
      </c>
      <c r="E5" s="21">
        <f>COUNTIF('Roadmap 6-16'!$G$2:$G$152,A5)</f>
        <v>9</v>
      </c>
      <c r="F5" s="21">
        <f>COUNTIFS('Roadmap 6-16'!$G$2:$G$152,A5,'Roadmap 6-16'!$H$2:$H$152,"P0 Critical")</f>
        <v>0</v>
      </c>
      <c r="G5" s="21">
        <f>COUNTIFS('Roadmap 6-16'!$G$2:$G$152,A5,'Roadmap 6-16'!$L$2:$L$152,"Done")</f>
        <v>0</v>
      </c>
      <c r="H5" s="22">
        <f>IF(E5=0,0,G5/E5)</f>
        <v>0</v>
      </c>
    </row>
    <row r="8" spans="1:8" x14ac:dyDescent="0.25">
      <c r="A8" s="23" t="s">
        <v>976</v>
      </c>
    </row>
    <row r="10" spans="1:8" x14ac:dyDescent="0.25">
      <c r="A10" s="26" t="s">
        <v>145</v>
      </c>
      <c r="B10" s="26" t="s">
        <v>977</v>
      </c>
      <c r="C10" s="26" t="s">
        <v>978</v>
      </c>
      <c r="D10" s="26" t="s">
        <v>5</v>
      </c>
      <c r="E10" s="26" t="s">
        <v>157</v>
      </c>
      <c r="F10" s="26" t="s">
        <v>393</v>
      </c>
      <c r="G10" s="26" t="s">
        <v>328</v>
      </c>
      <c r="H10" s="26" t="s">
        <v>334</v>
      </c>
    </row>
    <row r="11" spans="1:8" ht="25.5" x14ac:dyDescent="0.25">
      <c r="A11" s="27" t="s">
        <v>10</v>
      </c>
      <c r="B11" s="28" t="s">
        <v>979</v>
      </c>
      <c r="C11" s="28" t="s">
        <v>980</v>
      </c>
      <c r="D11" s="28">
        <f>COUNTIF('Roadmap 6-16'!$H$2:$H$152,A11)</f>
        <v>63</v>
      </c>
      <c r="E11" s="28">
        <f>COUNTIFS('Roadmap 6-16'!$H$2:$H$152,$A11,'Roadmap 6-16'!$G$2:$G$152,"v1.0")</f>
        <v>63</v>
      </c>
      <c r="F11" s="28">
        <f>COUNTIFS('Roadmap 6-16'!$H$2:$H$152,$A11,'Roadmap 6-16'!$G$2:$G$152,"v1.1")</f>
        <v>0</v>
      </c>
      <c r="G11" s="28">
        <f>COUNTIFS('Roadmap 6-16'!$H$2:$H$152,$A11,'Roadmap 6-16'!$G$2:$G$152,"v1.2")</f>
        <v>0</v>
      </c>
      <c r="H11" s="28">
        <f>COUNTIFS('Roadmap 6-16'!$H$2:$H$152,$A11,'Roadmap 6-16'!$G$2:$G$152,"v2.0")</f>
        <v>0</v>
      </c>
    </row>
    <row r="12" spans="1:8" ht="25.5" x14ac:dyDescent="0.25">
      <c r="A12" s="29" t="s">
        <v>41</v>
      </c>
      <c r="B12" s="28" t="s">
        <v>981</v>
      </c>
      <c r="C12" s="28" t="s">
        <v>982</v>
      </c>
      <c r="D12" s="28">
        <f>COUNTIF('Roadmap 6-16'!$H$2:$H$152,A12)</f>
        <v>45</v>
      </c>
      <c r="E12" s="28">
        <f>COUNTIFS('Roadmap 6-16'!$H$2:$H$152,$A12,'Roadmap 6-16'!$G$2:$G$152,"v1.0")</f>
        <v>27</v>
      </c>
      <c r="F12" s="28">
        <f>COUNTIFS('Roadmap 6-16'!$H$2:$H$152,$A12,'Roadmap 6-16'!$G$2:$G$152,"v1.1")</f>
        <v>14</v>
      </c>
      <c r="G12" s="28">
        <f>COUNTIFS('Roadmap 6-16'!$H$2:$H$152,$A12,'Roadmap 6-16'!$G$2:$G$152,"v1.2")</f>
        <v>3</v>
      </c>
      <c r="H12" s="28">
        <f>COUNTIFS('Roadmap 6-16'!$H$2:$H$152,$A12,'Roadmap 6-16'!$G$2:$G$152,"v2.0")</f>
        <v>1</v>
      </c>
    </row>
    <row r="13" spans="1:8" ht="25.5" x14ac:dyDescent="0.25">
      <c r="A13" s="30" t="s">
        <v>77</v>
      </c>
      <c r="B13" s="28" t="s">
        <v>983</v>
      </c>
      <c r="C13" s="28" t="s">
        <v>984</v>
      </c>
      <c r="D13" s="28">
        <f>COUNTIF('Roadmap 6-16'!$H$2:$H$152,A13)</f>
        <v>29</v>
      </c>
      <c r="E13" s="28">
        <f>COUNTIFS('Roadmap 6-16'!$H$2:$H$152,$A13,'Roadmap 6-16'!$G$2:$G$152,"v1.0")</f>
        <v>12</v>
      </c>
      <c r="F13" s="28">
        <f>COUNTIFS('Roadmap 6-16'!$H$2:$H$152,$A13,'Roadmap 6-16'!$G$2:$G$152,"v1.1")</f>
        <v>10</v>
      </c>
      <c r="G13" s="28">
        <f>COUNTIFS('Roadmap 6-16'!$H$2:$H$152,$A13,'Roadmap 6-16'!$G$2:$G$152,"v1.2")</f>
        <v>6</v>
      </c>
      <c r="H13" s="28">
        <f>COUNTIFS('Roadmap 6-16'!$H$2:$H$152,$A13,'Roadmap 6-16'!$G$2:$G$152,"v2.0")</f>
        <v>1</v>
      </c>
    </row>
    <row r="14" spans="1:8" ht="25.5" x14ac:dyDescent="0.25">
      <c r="A14" s="31" t="s">
        <v>103</v>
      </c>
      <c r="B14" s="28" t="s">
        <v>985</v>
      </c>
      <c r="C14" s="28" t="s">
        <v>986</v>
      </c>
      <c r="D14" s="28">
        <f>COUNTIF('Roadmap 6-16'!$H$2:$H$152,A14)</f>
        <v>8</v>
      </c>
      <c r="E14" s="28">
        <f>COUNTIFS('Roadmap 6-16'!$H$2:$H$152,$A14,'Roadmap 6-16'!$G$2:$G$152,"v1.0")</f>
        <v>3</v>
      </c>
      <c r="F14" s="28">
        <f>COUNTIFS('Roadmap 6-16'!$H$2:$H$152,$A14,'Roadmap 6-16'!$G$2:$G$152,"v1.1")</f>
        <v>0</v>
      </c>
      <c r="G14" s="28">
        <f>COUNTIFS('Roadmap 6-16'!$H$2:$H$152,$A14,'Roadmap 6-16'!$G$2:$G$152,"v1.2")</f>
        <v>3</v>
      </c>
      <c r="H14" s="28">
        <f>COUNTIFS('Roadmap 6-16'!$H$2:$H$152,$A14,'Roadmap 6-16'!$G$2:$G$152,"v2.0")</f>
        <v>2</v>
      </c>
    </row>
    <row r="15" spans="1:8" x14ac:dyDescent="0.25">
      <c r="A15" s="32" t="s">
        <v>109</v>
      </c>
      <c r="B15" s="28" t="s">
        <v>987</v>
      </c>
      <c r="C15" s="28" t="s">
        <v>988</v>
      </c>
      <c r="D15" s="28">
        <f>COUNTIF('Roadmap 6-16'!$H$2:$H$152,A15)</f>
        <v>6</v>
      </c>
      <c r="E15" s="28">
        <f>COUNTIFS('Roadmap 6-16'!$H$2:$H$152,$A15,'Roadmap 6-16'!$G$2:$G$152,"v1.0")</f>
        <v>0</v>
      </c>
      <c r="F15" s="28">
        <f>COUNTIFS('Roadmap 6-16'!$H$2:$H$152,$A15,'Roadmap 6-16'!$G$2:$G$152,"v1.1")</f>
        <v>0</v>
      </c>
      <c r="G15" s="28">
        <f>COUNTIFS('Roadmap 6-16'!$H$2:$H$152,$A15,'Roadmap 6-16'!$G$2:$G$152,"v1.2")</f>
        <v>1</v>
      </c>
      <c r="H15" s="28">
        <f>COUNTIFS('Roadmap 6-16'!$H$2:$H$152,$A15,'Roadmap 6-16'!$G$2:$G$152,"v2.0")</f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42" customWidth="1"/>
    <col min="3" max="3" width="22" customWidth="1"/>
    <col min="4" max="4" width="16" customWidth="1"/>
    <col min="5" max="5" width="58" customWidth="1"/>
    <col min="6" max="6" width="42" customWidth="1"/>
  </cols>
  <sheetData>
    <row r="1" spans="1:6" ht="24" customHeight="1" x14ac:dyDescent="0.25">
      <c r="A1" s="11" t="s">
        <v>989</v>
      </c>
      <c r="B1" s="11" t="s">
        <v>990</v>
      </c>
      <c r="C1" s="11" t="s">
        <v>991</v>
      </c>
      <c r="D1" s="11" t="s">
        <v>121</v>
      </c>
      <c r="E1" s="11" t="s">
        <v>992</v>
      </c>
      <c r="F1" s="11" t="s">
        <v>993</v>
      </c>
    </row>
    <row r="2" spans="1:6" ht="23.85" customHeight="1" x14ac:dyDescent="0.25">
      <c r="A2" s="12">
        <v>1</v>
      </c>
      <c r="B2" s="12" t="s">
        <v>994</v>
      </c>
      <c r="C2" s="12" t="s">
        <v>995</v>
      </c>
      <c r="D2" s="13" t="s">
        <v>6</v>
      </c>
      <c r="E2" s="12" t="s">
        <v>996</v>
      </c>
      <c r="F2" s="12" t="s">
        <v>997</v>
      </c>
    </row>
    <row r="3" spans="1:6" ht="35.1" customHeight="1" x14ac:dyDescent="0.25">
      <c r="A3" s="12">
        <v>2</v>
      </c>
      <c r="B3" s="12" t="s">
        <v>998</v>
      </c>
      <c r="C3" s="12" t="s">
        <v>999</v>
      </c>
      <c r="D3" s="13" t="s">
        <v>125</v>
      </c>
      <c r="E3" s="12" t="s">
        <v>1000</v>
      </c>
      <c r="F3" s="12" t="s">
        <v>1001</v>
      </c>
    </row>
    <row r="4" spans="1:6" ht="23.85" customHeight="1" x14ac:dyDescent="0.25">
      <c r="A4" s="12">
        <v>3</v>
      </c>
      <c r="B4" s="12" t="s">
        <v>1002</v>
      </c>
      <c r="C4" s="12" t="s">
        <v>200</v>
      </c>
      <c r="D4" s="13" t="s">
        <v>6</v>
      </c>
      <c r="E4" s="12" t="s">
        <v>1003</v>
      </c>
      <c r="F4" s="12" t="s">
        <v>997</v>
      </c>
    </row>
    <row r="5" spans="1:6" ht="23.85" customHeight="1" x14ac:dyDescent="0.25">
      <c r="A5" s="12">
        <v>4</v>
      </c>
      <c r="B5" s="12" t="s">
        <v>1004</v>
      </c>
      <c r="C5" s="12" t="s">
        <v>205</v>
      </c>
      <c r="D5" s="13" t="s">
        <v>6</v>
      </c>
      <c r="E5" s="12" t="s">
        <v>1005</v>
      </c>
      <c r="F5" s="12" t="s">
        <v>1006</v>
      </c>
    </row>
    <row r="6" spans="1:6" ht="23.85" customHeight="1" x14ac:dyDescent="0.25">
      <c r="A6" s="12">
        <v>5</v>
      </c>
      <c r="B6" s="12" t="s">
        <v>1007</v>
      </c>
      <c r="C6" s="12" t="s">
        <v>194</v>
      </c>
      <c r="D6" s="13" t="s">
        <v>6</v>
      </c>
      <c r="E6" s="12" t="s">
        <v>1008</v>
      </c>
      <c r="F6" s="12" t="s">
        <v>997</v>
      </c>
    </row>
    <row r="7" spans="1:6" ht="23.85" customHeight="1" x14ac:dyDescent="0.25">
      <c r="A7" s="12">
        <v>6</v>
      </c>
      <c r="B7" s="12" t="s">
        <v>1009</v>
      </c>
      <c r="C7" s="12" t="s">
        <v>1010</v>
      </c>
      <c r="D7" s="13" t="s">
        <v>125</v>
      </c>
      <c r="E7" s="12" t="s">
        <v>1011</v>
      </c>
      <c r="F7" s="12" t="s">
        <v>1012</v>
      </c>
    </row>
    <row r="8" spans="1:6" ht="35.1" customHeight="1" x14ac:dyDescent="0.25">
      <c r="A8" s="12">
        <v>7</v>
      </c>
      <c r="B8" s="12" t="s">
        <v>1013</v>
      </c>
      <c r="C8" s="12" t="s">
        <v>1014</v>
      </c>
      <c r="D8" s="13" t="s">
        <v>125</v>
      </c>
      <c r="E8" s="12" t="s">
        <v>1015</v>
      </c>
      <c r="F8" s="12" t="s">
        <v>1016</v>
      </c>
    </row>
  </sheetData>
  <conditionalFormatting sqref="D2:D8">
    <cfRule type="cellIs" dxfId="8" priority="2" operator="equal">
      <formula>"Done"</formula>
    </cfRule>
    <cfRule type="cellIs" dxfId="7" priority="3" operator="equal">
      <formula>"Ready to build"</formula>
    </cfRule>
    <cfRule type="cellIs" dxfId="6" priority="4" operator="equal">
      <formula>"Pending"</formula>
    </cfRule>
  </conditionalFormatting>
  <dataValidations count="1">
    <dataValidation type="list" sqref="D2:D8" xr:uid="{00000000-0002-0000-0400-000000000000}">
      <formula1>"Done,Ready to build,Pending"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zoomScaleNormal="100" workbookViewId="0">
      <pane ySplit="1" topLeftCell="A13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58" customWidth="1"/>
    <col min="3" max="3" width="16" customWidth="1"/>
    <col min="4" max="4" width="22" customWidth="1"/>
    <col min="5" max="5" width="62" customWidth="1"/>
  </cols>
  <sheetData>
    <row r="1" spans="1:5" ht="24" customHeight="1" x14ac:dyDescent="0.25">
      <c r="A1" s="11" t="s">
        <v>1017</v>
      </c>
      <c r="B1" s="11" t="s">
        <v>1018</v>
      </c>
      <c r="C1" s="11" t="s">
        <v>121</v>
      </c>
      <c r="D1" s="11" t="s">
        <v>1019</v>
      </c>
      <c r="E1" s="11" t="s">
        <v>1020</v>
      </c>
    </row>
    <row r="2" spans="1:5" ht="15" customHeight="1" x14ac:dyDescent="0.25">
      <c r="A2" s="12" t="s">
        <v>151</v>
      </c>
      <c r="B2" s="12" t="s">
        <v>1021</v>
      </c>
      <c r="C2" s="13" t="s">
        <v>6</v>
      </c>
      <c r="D2" s="12" t="s">
        <v>1022</v>
      </c>
      <c r="E2" s="12"/>
    </row>
    <row r="3" spans="1:5" ht="15" customHeight="1" x14ac:dyDescent="0.25">
      <c r="A3" s="12" t="s">
        <v>160</v>
      </c>
      <c r="B3" s="12" t="s">
        <v>1023</v>
      </c>
      <c r="C3" s="13" t="s">
        <v>6</v>
      </c>
      <c r="D3" s="12" t="s">
        <v>1022</v>
      </c>
      <c r="E3" s="12"/>
    </row>
    <row r="4" spans="1:5" ht="15" customHeight="1" x14ac:dyDescent="0.25">
      <c r="A4" s="12" t="s">
        <v>167</v>
      </c>
      <c r="B4" s="12" t="s">
        <v>1024</v>
      </c>
      <c r="C4" s="13" t="s">
        <v>6</v>
      </c>
      <c r="D4" s="12" t="s">
        <v>1022</v>
      </c>
      <c r="E4" s="12"/>
    </row>
    <row r="5" spans="1:5" ht="15" customHeight="1" x14ac:dyDescent="0.25">
      <c r="A5" s="12" t="s">
        <v>172</v>
      </c>
      <c r="B5" s="12" t="s">
        <v>173</v>
      </c>
      <c r="C5" s="13" t="s">
        <v>6</v>
      </c>
      <c r="D5" s="12" t="s">
        <v>1022</v>
      </c>
      <c r="E5" s="12"/>
    </row>
    <row r="6" spans="1:5" ht="15" customHeight="1" x14ac:dyDescent="0.25">
      <c r="A6" s="12" t="s">
        <v>177</v>
      </c>
      <c r="B6" s="12" t="s">
        <v>1025</v>
      </c>
      <c r="C6" s="13" t="s">
        <v>6</v>
      </c>
      <c r="D6" s="12" t="s">
        <v>1022</v>
      </c>
      <c r="E6" s="12"/>
    </row>
    <row r="7" spans="1:5" ht="15" customHeight="1" x14ac:dyDescent="0.25">
      <c r="A7" s="12" t="s">
        <v>183</v>
      </c>
      <c r="B7" s="12" t="s">
        <v>1026</v>
      </c>
      <c r="C7" s="13" t="s">
        <v>6</v>
      </c>
      <c r="D7" s="12" t="s">
        <v>1022</v>
      </c>
      <c r="E7" s="12" t="s">
        <v>1027</v>
      </c>
    </row>
    <row r="8" spans="1:5" ht="15" customHeight="1" x14ac:dyDescent="0.25">
      <c r="A8" s="12" t="s">
        <v>189</v>
      </c>
      <c r="B8" s="12" t="s">
        <v>190</v>
      </c>
      <c r="C8" s="13" t="s">
        <v>6</v>
      </c>
      <c r="D8" s="12" t="s">
        <v>1022</v>
      </c>
      <c r="E8" s="12" t="s">
        <v>1028</v>
      </c>
    </row>
    <row r="9" spans="1:5" ht="15" customHeight="1" x14ac:dyDescent="0.25">
      <c r="A9" s="12" t="s">
        <v>194</v>
      </c>
      <c r="B9" s="12" t="s">
        <v>1029</v>
      </c>
      <c r="C9" s="13" t="s">
        <v>6</v>
      </c>
      <c r="D9" s="12" t="s">
        <v>1022</v>
      </c>
      <c r="E9" s="12" t="s">
        <v>1030</v>
      </c>
    </row>
    <row r="10" spans="1:5" ht="15" customHeight="1" x14ac:dyDescent="0.25">
      <c r="A10" s="12" t="s">
        <v>200</v>
      </c>
      <c r="B10" s="12" t="s">
        <v>1031</v>
      </c>
      <c r="C10" s="13" t="s">
        <v>6</v>
      </c>
      <c r="D10" s="12" t="s">
        <v>1022</v>
      </c>
      <c r="E10" s="12" t="s">
        <v>1032</v>
      </c>
    </row>
    <row r="11" spans="1:5" ht="15" customHeight="1" x14ac:dyDescent="0.25">
      <c r="A11" s="12" t="s">
        <v>205</v>
      </c>
      <c r="B11" s="12" t="s">
        <v>206</v>
      </c>
      <c r="C11" s="13" t="s">
        <v>6</v>
      </c>
      <c r="D11" s="12" t="s">
        <v>1022</v>
      </c>
      <c r="E11" s="12" t="s">
        <v>1033</v>
      </c>
    </row>
    <row r="12" spans="1:5" ht="15" customHeight="1" x14ac:dyDescent="0.25">
      <c r="A12" s="12" t="s">
        <v>210</v>
      </c>
      <c r="B12" s="12" t="s">
        <v>1034</v>
      </c>
      <c r="C12" s="13" t="s">
        <v>125</v>
      </c>
      <c r="D12" s="12" t="s">
        <v>1022</v>
      </c>
      <c r="E12" s="12" t="s">
        <v>1035</v>
      </c>
    </row>
    <row r="13" spans="1:5" ht="23.85" customHeight="1" x14ac:dyDescent="0.25">
      <c r="A13" s="12" t="s">
        <v>1036</v>
      </c>
      <c r="B13" s="12" t="s">
        <v>1037</v>
      </c>
      <c r="C13" s="13" t="s">
        <v>125</v>
      </c>
      <c r="D13" s="12" t="s">
        <v>1038</v>
      </c>
      <c r="E13" s="12" t="s">
        <v>1039</v>
      </c>
    </row>
    <row r="14" spans="1:5" ht="15" customHeight="1" x14ac:dyDescent="0.25">
      <c r="A14" s="12" t="s">
        <v>241</v>
      </c>
      <c r="B14" s="12" t="s">
        <v>242</v>
      </c>
      <c r="C14" s="13" t="s">
        <v>125</v>
      </c>
      <c r="D14" s="12" t="s">
        <v>1022</v>
      </c>
      <c r="E14" s="12" t="s">
        <v>1040</v>
      </c>
    </row>
    <row r="15" spans="1:5" ht="15" customHeight="1" x14ac:dyDescent="0.25">
      <c r="A15" s="12" t="s">
        <v>246</v>
      </c>
      <c r="B15" s="12" t="s">
        <v>1041</v>
      </c>
      <c r="C15" s="13" t="s">
        <v>125</v>
      </c>
      <c r="D15" s="12" t="s">
        <v>1022</v>
      </c>
      <c r="E15" s="12" t="s">
        <v>1042</v>
      </c>
    </row>
    <row r="16" spans="1:5" ht="15" customHeight="1" x14ac:dyDescent="0.25">
      <c r="A16" s="12" t="s">
        <v>251</v>
      </c>
      <c r="B16" s="12" t="s">
        <v>1043</v>
      </c>
      <c r="C16" s="13" t="s">
        <v>125</v>
      </c>
      <c r="D16" s="12" t="s">
        <v>1022</v>
      </c>
      <c r="E16" s="12" t="s">
        <v>1044</v>
      </c>
    </row>
    <row r="17" spans="1:5" ht="15" customHeight="1" x14ac:dyDescent="0.25">
      <c r="A17" s="12" t="s">
        <v>256</v>
      </c>
      <c r="B17" s="12" t="s">
        <v>1045</v>
      </c>
      <c r="C17" s="13" t="s">
        <v>125</v>
      </c>
      <c r="D17" s="12" t="s">
        <v>1022</v>
      </c>
      <c r="E17" s="12" t="s">
        <v>1046</v>
      </c>
    </row>
    <row r="18" spans="1:5" ht="23.85" customHeight="1" x14ac:dyDescent="0.25">
      <c r="A18" s="12" t="s">
        <v>261</v>
      </c>
      <c r="B18" s="12" t="s">
        <v>1047</v>
      </c>
      <c r="C18" s="13" t="s">
        <v>125</v>
      </c>
      <c r="D18" s="12" t="s">
        <v>1022</v>
      </c>
      <c r="E18" s="12" t="s">
        <v>1048</v>
      </c>
    </row>
    <row r="19" spans="1:5" ht="23.85" customHeight="1" x14ac:dyDescent="0.25">
      <c r="A19" s="12" t="s">
        <v>268</v>
      </c>
      <c r="B19" s="12" t="s">
        <v>269</v>
      </c>
      <c r="C19" s="13" t="s">
        <v>125</v>
      </c>
      <c r="D19" s="12" t="s">
        <v>1022</v>
      </c>
      <c r="E19" s="12" t="s">
        <v>1049</v>
      </c>
    </row>
    <row r="20" spans="1:5" ht="23.85" customHeight="1" x14ac:dyDescent="0.25">
      <c r="A20" s="12" t="s">
        <v>273</v>
      </c>
      <c r="B20" s="12" t="s">
        <v>1050</v>
      </c>
      <c r="C20" s="13" t="s">
        <v>125</v>
      </c>
      <c r="D20" s="12" t="s">
        <v>1038</v>
      </c>
      <c r="E20" s="12"/>
    </row>
    <row r="21" spans="1:5" ht="15" customHeight="1" x14ac:dyDescent="0.25">
      <c r="A21" s="12" t="s">
        <v>278</v>
      </c>
      <c r="B21" s="12" t="s">
        <v>1051</v>
      </c>
      <c r="C21" s="13" t="s">
        <v>125</v>
      </c>
      <c r="D21" s="12" t="s">
        <v>1038</v>
      </c>
      <c r="E21" s="12" t="s">
        <v>1052</v>
      </c>
    </row>
    <row r="22" spans="1:5" ht="15" customHeight="1" x14ac:dyDescent="0.25">
      <c r="A22" s="12" t="s">
        <v>283</v>
      </c>
      <c r="B22" s="12" t="s">
        <v>1053</v>
      </c>
      <c r="C22" s="13" t="s">
        <v>125</v>
      </c>
      <c r="D22" s="12" t="s">
        <v>1038</v>
      </c>
      <c r="E22" s="12" t="s">
        <v>1054</v>
      </c>
    </row>
    <row r="23" spans="1:5" ht="23.85" customHeight="1" x14ac:dyDescent="0.25">
      <c r="A23" s="12" t="s">
        <v>288</v>
      </c>
      <c r="B23" s="12" t="s">
        <v>1055</v>
      </c>
      <c r="C23" s="13" t="s">
        <v>125</v>
      </c>
      <c r="D23" s="12" t="s">
        <v>1038</v>
      </c>
      <c r="E23" s="12" t="s">
        <v>1056</v>
      </c>
    </row>
    <row r="24" spans="1:5" ht="15" customHeight="1" x14ac:dyDescent="0.25">
      <c r="A24" s="12" t="s">
        <v>294</v>
      </c>
      <c r="B24" s="12" t="s">
        <v>295</v>
      </c>
      <c r="C24" s="13" t="s">
        <v>125</v>
      </c>
      <c r="D24" s="12" t="s">
        <v>1038</v>
      </c>
      <c r="E24" s="12" t="s">
        <v>1057</v>
      </c>
    </row>
    <row r="25" spans="1:5" ht="15" customHeight="1" x14ac:dyDescent="0.25">
      <c r="A25" s="12" t="s">
        <v>299</v>
      </c>
      <c r="B25" s="12" t="s">
        <v>1058</v>
      </c>
      <c r="C25" s="13" t="s">
        <v>125</v>
      </c>
      <c r="D25" s="12" t="s">
        <v>1022</v>
      </c>
      <c r="E25" s="12" t="s">
        <v>1059</v>
      </c>
    </row>
    <row r="26" spans="1:5" ht="15" customHeight="1" x14ac:dyDescent="0.25">
      <c r="A26" s="12" t="s">
        <v>1060</v>
      </c>
      <c r="B26" s="12" t="s">
        <v>1061</v>
      </c>
      <c r="C26" s="13" t="s">
        <v>126</v>
      </c>
      <c r="D26" s="12" t="s">
        <v>1022</v>
      </c>
      <c r="E26" s="12" t="s">
        <v>1062</v>
      </c>
    </row>
    <row r="27" spans="1:5" ht="15" customHeight="1" x14ac:dyDescent="0.25">
      <c r="A27" s="12" t="s">
        <v>1060</v>
      </c>
      <c r="B27" s="12" t="s">
        <v>1063</v>
      </c>
      <c r="C27" s="13" t="s">
        <v>126</v>
      </c>
      <c r="D27" s="12" t="s">
        <v>1064</v>
      </c>
      <c r="E27" s="12" t="s">
        <v>1065</v>
      </c>
    </row>
    <row r="28" spans="1:5" ht="15" customHeight="1" x14ac:dyDescent="0.25">
      <c r="A28" s="12" t="s">
        <v>1060</v>
      </c>
      <c r="B28" s="12" t="s">
        <v>1066</v>
      </c>
      <c r="C28" s="13" t="s">
        <v>126</v>
      </c>
      <c r="D28" s="12" t="s">
        <v>1038</v>
      </c>
      <c r="E28" s="12"/>
    </row>
    <row r="29" spans="1:5" ht="15" customHeight="1" x14ac:dyDescent="0.25">
      <c r="A29" s="12" t="s">
        <v>1060</v>
      </c>
      <c r="B29" s="12" t="s">
        <v>1067</v>
      </c>
      <c r="C29" s="13" t="s">
        <v>126</v>
      </c>
      <c r="D29" s="12" t="s">
        <v>1064</v>
      </c>
      <c r="E29" s="12" t="s">
        <v>1068</v>
      </c>
    </row>
    <row r="30" spans="1:5" ht="15" customHeight="1" x14ac:dyDescent="0.25">
      <c r="A30" s="12" t="s">
        <v>1060</v>
      </c>
      <c r="B30" s="12" t="s">
        <v>1069</v>
      </c>
      <c r="C30" s="13" t="s">
        <v>126</v>
      </c>
      <c r="D30" s="12" t="s">
        <v>1064</v>
      </c>
      <c r="E30" s="12" t="s">
        <v>1070</v>
      </c>
    </row>
    <row r="31" spans="1:5" ht="15" customHeight="1" x14ac:dyDescent="0.25">
      <c r="A31" s="12" t="s">
        <v>1060</v>
      </c>
      <c r="B31" s="12" t="s">
        <v>1071</v>
      </c>
      <c r="C31" s="13" t="s">
        <v>126</v>
      </c>
      <c r="D31" s="12" t="s">
        <v>1038</v>
      </c>
      <c r="E31" s="12"/>
    </row>
    <row r="32" spans="1:5" ht="15" customHeight="1" x14ac:dyDescent="0.25">
      <c r="A32" s="12" t="s">
        <v>1060</v>
      </c>
      <c r="B32" s="12" t="s">
        <v>1072</v>
      </c>
      <c r="C32" s="13" t="s">
        <v>126</v>
      </c>
      <c r="D32" s="12" t="s">
        <v>1038</v>
      </c>
      <c r="E32" s="12" t="s">
        <v>1073</v>
      </c>
    </row>
    <row r="33" spans="1:5" ht="15" customHeight="1" x14ac:dyDescent="0.25">
      <c r="A33" s="12" t="s">
        <v>1060</v>
      </c>
      <c r="B33" s="12" t="s">
        <v>1074</v>
      </c>
      <c r="C33" s="13" t="s">
        <v>126</v>
      </c>
      <c r="D33" s="12" t="s">
        <v>1038</v>
      </c>
      <c r="E33" s="12" t="s">
        <v>1075</v>
      </c>
    </row>
  </sheetData>
  <conditionalFormatting sqref="C2:C33">
    <cfRule type="cellIs" dxfId="5" priority="2" operator="equal">
      <formula>"Done"</formula>
    </cfRule>
    <cfRule type="cellIs" dxfId="4" priority="3" operator="equal">
      <formula>"Ready to build"</formula>
    </cfRule>
    <cfRule type="cellIs" dxfId="3" priority="4" operator="equal">
      <formula>"Pending"</formula>
    </cfRule>
  </conditionalFormatting>
  <dataValidations count="1">
    <dataValidation type="list" sqref="C2:C33" xr:uid="{00000000-0002-0000-0500-000000000000}">
      <formula1>"Done,Ready to build,Pending"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70" customWidth="1"/>
    <col min="3" max="4" width="16" customWidth="1"/>
  </cols>
  <sheetData>
    <row r="1" spans="1:4" ht="24" customHeight="1" x14ac:dyDescent="0.25">
      <c r="A1" s="11" t="s">
        <v>1076</v>
      </c>
      <c r="B1" s="11" t="s">
        <v>1077</v>
      </c>
      <c r="C1" s="11" t="s">
        <v>1078</v>
      </c>
      <c r="D1" s="11" t="s">
        <v>121</v>
      </c>
    </row>
    <row r="2" spans="1:4" ht="15" customHeight="1" x14ac:dyDescent="0.25">
      <c r="A2" s="12" t="s">
        <v>1079</v>
      </c>
      <c r="B2" s="12" t="s">
        <v>1080</v>
      </c>
      <c r="C2" s="14">
        <v>5</v>
      </c>
      <c r="D2" s="13" t="s">
        <v>6</v>
      </c>
    </row>
    <row r="3" spans="1:4" ht="15" customHeight="1" x14ac:dyDescent="0.25">
      <c r="A3" s="12" t="s">
        <v>1081</v>
      </c>
      <c r="B3" s="12" t="s">
        <v>1082</v>
      </c>
      <c r="C3" s="14">
        <v>6</v>
      </c>
      <c r="D3" s="13" t="s">
        <v>125</v>
      </c>
    </row>
    <row r="4" spans="1:4" ht="15" customHeight="1" x14ac:dyDescent="0.25">
      <c r="A4" s="12" t="s">
        <v>1083</v>
      </c>
      <c r="B4" s="12" t="s">
        <v>1084</v>
      </c>
      <c r="C4" s="14">
        <v>6</v>
      </c>
      <c r="D4" s="13" t="s">
        <v>125</v>
      </c>
    </row>
    <row r="5" spans="1:4" ht="23.85" customHeight="1" x14ac:dyDescent="0.25">
      <c r="A5" s="12" t="s">
        <v>1085</v>
      </c>
      <c r="B5" s="12" t="s">
        <v>1086</v>
      </c>
      <c r="C5" s="14">
        <v>6</v>
      </c>
      <c r="D5" s="13" t="s">
        <v>125</v>
      </c>
    </row>
    <row r="6" spans="1:4" ht="15" customHeight="1" x14ac:dyDescent="0.25">
      <c r="A6" s="12" t="s">
        <v>1087</v>
      </c>
      <c r="B6" s="12" t="s">
        <v>1088</v>
      </c>
      <c r="C6" s="14">
        <v>5</v>
      </c>
      <c r="D6" s="13" t="s">
        <v>125</v>
      </c>
    </row>
    <row r="7" spans="1:4" ht="15" customHeight="1" x14ac:dyDescent="0.25">
      <c r="B7" s="9" t="s">
        <v>1089</v>
      </c>
      <c r="C7" s="15">
        <f>SUM(C2:C6)</f>
        <v>28</v>
      </c>
    </row>
    <row r="8" spans="1:4" ht="15" customHeight="1" x14ac:dyDescent="0.25">
      <c r="B8" s="9" t="s">
        <v>1090</v>
      </c>
      <c r="C8" s="15">
        <f>SUMIF(D2:D6,"Done",C2:C6)</f>
        <v>5</v>
      </c>
    </row>
  </sheetData>
  <conditionalFormatting sqref="D2:D6">
    <cfRule type="cellIs" dxfId="2" priority="2" operator="equal">
      <formula>"Done"</formula>
    </cfRule>
    <cfRule type="cellIs" dxfId="1" priority="3" operator="equal">
      <formula>"Ready to build"</formula>
    </cfRule>
    <cfRule type="cellIs" dxfId="0" priority="4" operator="equal">
      <formula>"Pending"</formula>
    </cfRule>
  </conditionalFormatting>
  <dataValidations count="1">
    <dataValidation type="list" sqref="D2:D6" xr:uid="{00000000-0002-0000-0600-000000000000}">
      <formula1>"Done,Ready to build,Pending"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Build Order</vt:lpstr>
      <vt:lpstr>Roadmap 6-16</vt:lpstr>
      <vt:lpstr>Versions</vt:lpstr>
      <vt:lpstr>Requirements</vt:lpstr>
      <vt:lpstr>Sub-steps</vt:lpstr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Onchari Wycliffe</cp:lastModifiedBy>
  <cp:revision>0</cp:revision>
  <dcterms:created xsi:type="dcterms:W3CDTF">2026-10-12T11:28:03Z</dcterms:created>
  <dcterms:modified xsi:type="dcterms:W3CDTF">2026-10-21T06:39:06Z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6c6c6e-c957-426f-9342-0f08487ce941_Enabled">
    <vt:lpwstr>true</vt:lpwstr>
  </property>
  <property fmtid="{D5CDD505-2E9C-101B-9397-08002B2CF9AE}" pid="3" name="MSIP_Label_e86c6c6e-c957-426f-9342-0f08487ce941_SetDate">
    <vt:lpwstr>2026-10-12T18:46:22Z</vt:lpwstr>
  </property>
  <property fmtid="{D5CDD505-2E9C-101B-9397-08002B2CF9AE}" pid="4" name="MSIP_Label_e86c6c6e-c957-426f-9342-0f08487ce941_Method">
    <vt:lpwstr>Privileged</vt:lpwstr>
  </property>
  <property fmtid="{D5CDD505-2E9C-101B-9397-08002B2CF9AE}" pid="5" name="MSIP_Label_e86c6c6e-c957-426f-9342-0f08487ce941_Name">
    <vt:lpwstr>Public</vt:lpwstr>
  </property>
  <property fmtid="{D5CDD505-2E9C-101B-9397-08002B2CF9AE}" pid="6" name="MSIP_Label_e86c6c6e-c957-426f-9342-0f08487ce941_SiteId">
    <vt:lpwstr>412bb99a-657f-40ae-930a-5d4babdf4c92</vt:lpwstr>
  </property>
  <property fmtid="{D5CDD505-2E9C-101B-9397-08002B2CF9AE}" pid="7" name="MSIP_Label_e86c6c6e-c957-426f-9342-0f08487ce941_ActionId">
    <vt:lpwstr>237f5066-7d40-4634-b0b7-cc150f1ecc13</vt:lpwstr>
  </property>
  <property fmtid="{D5CDD505-2E9C-101B-9397-08002B2CF9AE}" pid="8" name="MSIP_Label_e86c6c6e-c957-426f-9342-0f08487ce941_ContentBits">
    <vt:lpwstr>0</vt:lpwstr>
  </property>
  <property fmtid="{D5CDD505-2E9C-101B-9397-08002B2CF9AE}" pid="9" name="MSIP_Label_e86c6c6e-c957-426f-9342-0f08487ce941_Tag">
    <vt:lpwstr>10, 0, 1, 1</vt:lpwstr>
  </property>
</Properties>
</file>